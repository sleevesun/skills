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8400" yWindow="-1500" windowWidth="51200" windowHeight="28200" tabRatio="808" firstSheet="0" activeTab="0" autoFilterDateGrouping="1"/>
  </bookViews>
  <sheets>
    <sheet name="重点关注" sheetId="1" state="visible" r:id="rId1"/>
    <sheet name="游戏业务" sheetId="2" state="visible" r:id="rId2"/>
    <sheet name="集团职能" sheetId="3" state="visible" r:id="rId3"/>
    <sheet name="影视业务" sheetId="4" state="visible" r:id="rId4"/>
    <sheet name="虚拟世界" sheetId="5" state="visible" r:id="rId5"/>
    <sheet name="新业务事业群" sheetId="6" state="visible" r:id="rId6"/>
    <sheet name="洪恩" sheetId="7" state="visible" r:id="rId7"/>
    <sheet name="全量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0_);[Red]\(0.00\)"/>
    <numFmt numFmtId="165" formatCode="0.000000_);[Red]\(0.000000\)"/>
    <numFmt numFmtId="166" formatCode="_ * #,##0.00_ ;_ * \-#,##0.00_ ;_ * &quot;-&quot;??_ ;_ @_ "/>
    <numFmt numFmtId="167" formatCode="0.00_ "/>
    <numFmt numFmtId="168" formatCode="h:mm:ss;@"/>
    <numFmt numFmtId="169" formatCode="[$-804]aaaa;@"/>
    <numFmt numFmtId="170" formatCode="m/d;@"/>
    <numFmt numFmtId="171" formatCode="h:mm;@"/>
  </numFmts>
  <fonts count="29">
    <font>
      <name val="宋体"/>
      <charset val="134"/>
      <color theme="1"/>
      <sz val="11"/>
      <scheme val="minor"/>
    </font>
    <font>
      <name val="微软雅黑"/>
      <charset val="134"/>
      <b val="1"/>
      <color theme="0"/>
      <sz val="10"/>
    </font>
    <font>
      <name val="宋体"/>
      <charset val="134"/>
      <color indexed="8"/>
      <sz val="11"/>
      <scheme val="minor"/>
    </font>
    <font>
      <name val="宋体"/>
      <charset val="134"/>
      <color rgb="FF000000"/>
      <sz val="11"/>
      <scheme val="minor"/>
    </font>
    <font>
      <name val="微软雅黑"/>
      <charset val="134"/>
      <color rgb="FF000000"/>
      <sz val="9"/>
    </font>
    <font>
      <name val="微软雅黑"/>
      <charset val="134"/>
      <color rgb="FF0070C0"/>
      <sz val="10"/>
    </font>
    <font>
      <name val="微软雅黑"/>
      <charset val="134"/>
      <color theme="1"/>
      <sz val="10"/>
    </font>
    <font>
      <name val="微软雅黑"/>
      <charset val="134"/>
      <b val="1"/>
      <color rgb="FFFFFFFF"/>
      <sz val="10"/>
    </font>
    <font>
      <name val="微软雅黑"/>
      <charset val="134"/>
      <sz val="11"/>
    </font>
    <font>
      <name val="宋体"/>
      <charset val="134"/>
      <color rgb="FF222222"/>
      <sz val="10.5"/>
      <scheme val="minor"/>
    </font>
    <font>
      <name val="微软雅黑"/>
      <charset val="134"/>
      <sz val="9"/>
    </font>
    <font>
      <name val="微软雅黑"/>
      <charset val="134"/>
      <sz val="10"/>
    </font>
    <font>
      <name val="微软雅黑"/>
      <charset val="134"/>
      <color theme="1" tint="0.249977111117893"/>
      <sz val="9"/>
    </font>
    <font>
      <name val="微软雅黑"/>
      <charset val="134"/>
      <b val="1"/>
      <color theme="3" tint="0.499984740745262"/>
      <sz val="9"/>
    </font>
    <font>
      <name val="Calibri"/>
      <family val="2"/>
      <sz val="11"/>
    </font>
    <font>
      <name val="Calibri"/>
      <sz val="9"/>
    </font>
    <font>
      <name val="微软雅黑"/>
      <charset val="134"/>
      <color rgb="FF000000"/>
      <sz val="10"/>
    </font>
    <font>
      <name val="微软雅黑"/>
      <charset val="134"/>
      <b val="1"/>
      <color theme="5" tint="-0.249977111117893"/>
      <sz val="9"/>
    </font>
    <font>
      <name val="微软雅黑"/>
      <charset val="134"/>
      <b val="1"/>
      <color theme="0"/>
      <sz val="9"/>
    </font>
    <font>
      <name val="微软雅黑"/>
      <charset val="134"/>
      <color rgb="FF0070C0"/>
      <sz val="9"/>
    </font>
    <font>
      <name val="微软雅黑"/>
      <charset val="134"/>
      <color theme="5" tint="-0.499984740745262"/>
      <sz val="9"/>
    </font>
    <font>
      <name val="微软雅黑"/>
      <charset val="134"/>
      <color theme="4"/>
      <sz val="9"/>
    </font>
    <font>
      <name val="微软雅黑"/>
      <charset val="134"/>
      <color rgb="FF843E0B"/>
      <sz val="9"/>
    </font>
    <font>
      <name val="宋体"/>
      <charset val="134"/>
      <color theme="1"/>
      <sz val="11"/>
      <scheme val="minor"/>
    </font>
    <font>
      <name val="微软雅黑"/>
      <charset val="134"/>
      <color theme="0" tint="-0.499984740745262"/>
      <sz val="10"/>
    </font>
    <font>
      <name val="微软雅黑"/>
      <charset val="134"/>
      <b val="1"/>
      <color rgb="FFFFC000"/>
      <sz val="10"/>
    </font>
    <font>
      <name val="微软雅黑"/>
      <charset val="134"/>
      <b val="1"/>
      <color rgb="FFFF0000"/>
      <sz val="10"/>
    </font>
    <font>
      <name val="宋体"/>
      <charset val="134"/>
      <family val="3"/>
      <sz val="9"/>
      <scheme val="minor"/>
    </font>
    <font>
      <name val="微软雅黑"/>
      <charset val="134"/>
      <family val="2"/>
      <sz val="9"/>
    </font>
  </fonts>
  <fills count="9">
    <fill>
      <patternFill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5" tint="0.79973754081850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8901333658864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/>
      <top style="medium">
        <color auto="1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auto="1"/>
      </bottom>
      <diagonal/>
    </border>
    <border>
      <left style="medium">
        <color auto="1"/>
      </left>
      <right/>
      <top style="medium">
        <color rgb="FF000000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2">
    <xf numFmtId="0" fontId="23" fillId="0" borderId="0" applyAlignment="1">
      <alignment vertical="center"/>
    </xf>
    <xf numFmtId="0" fontId="23" fillId="0" borderId="0"/>
  </cellStyleXfs>
  <cellXfs count="203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vertical="center"/>
    </xf>
    <xf numFmtId="0" fontId="2" fillId="3" borderId="0" applyAlignment="1" pivotButton="0" quotePrefix="0" xfId="0">
      <alignment vertical="center"/>
    </xf>
    <xf numFmtId="164" fontId="2" fillId="3" borderId="0" applyAlignment="1" pivotButton="0" quotePrefix="0" xfId="0">
      <alignment horizontal="right" vertical="center"/>
    </xf>
    <xf numFmtId="0" fontId="2" fillId="3" borderId="0" applyAlignment="1" pivotButton="0" quotePrefix="0" xfId="0">
      <alignment horizontal="center" vertical="center" wrapText="1"/>
    </xf>
    <xf numFmtId="164" fontId="2" fillId="3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164" fontId="2" fillId="3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vertical="center" wrapText="1"/>
    </xf>
    <xf numFmtId="164" fontId="2" fillId="0" borderId="0" applyAlignment="1" pivotButton="0" quotePrefix="0" xfId="0">
      <alignment vertical="center"/>
    </xf>
    <xf numFmtId="165" fontId="2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164" fontId="2" fillId="0" borderId="0" applyAlignment="1" pivotButton="0" quotePrefix="0" xfId="0">
      <alignment vertical="center" wrapText="1"/>
    </xf>
    <xf numFmtId="166" fontId="2" fillId="0" borderId="0" applyAlignment="1" pivotButton="0" quotePrefix="0" xfId="0">
      <alignment vertical="center"/>
    </xf>
    <xf numFmtId="20" fontId="2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2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 wrapText="1"/>
    </xf>
    <xf numFmtId="167" fontId="5" fillId="0" borderId="0" applyAlignment="1" pivotButton="0" quotePrefix="0" xfId="0">
      <alignment vertical="center"/>
    </xf>
    <xf numFmtId="167" fontId="6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4" fillId="0" borderId="3" applyAlignment="1" pivotButton="0" quotePrefix="0" xfId="0">
      <alignment vertical="center"/>
    </xf>
    <xf numFmtId="0" fontId="4" fillId="0" borderId="3" applyAlignment="1" pivotButton="0" quotePrefix="0" xfId="0">
      <alignment vertical="center" wrapText="1"/>
    </xf>
    <xf numFmtId="167" fontId="5" fillId="0" borderId="3" applyAlignment="1" pivotButton="0" quotePrefix="0" xfId="0">
      <alignment vertical="center"/>
    </xf>
    <xf numFmtId="167" fontId="6" fillId="0" borderId="3" applyAlignment="1" pivotButton="0" quotePrefix="0" xfId="0">
      <alignment vertical="center"/>
    </xf>
    <xf numFmtId="0" fontId="6" fillId="0" borderId="3" applyAlignment="1" pivotButton="0" quotePrefix="0" xfId="0">
      <alignment vertical="center"/>
    </xf>
    <xf numFmtId="0" fontId="7" fillId="4" borderId="0" applyAlignment="1" pivotButton="0" quotePrefix="0" xfId="0">
      <alignment horizontal="center" vertical="center" wrapText="1"/>
    </xf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9" fillId="0" borderId="0" applyAlignment="1" pivotButton="0" quotePrefix="0" xfId="0">
      <alignment vertical="center"/>
    </xf>
    <xf numFmtId="168" fontId="0" fillId="0" borderId="0" applyAlignment="1" pivotButton="0" quotePrefix="0" xfId="0">
      <alignment vertical="center"/>
    </xf>
    <xf numFmtId="0" fontId="10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15" fillId="0" borderId="0" pivotButton="0" quotePrefix="0" xfId="0"/>
    <xf numFmtId="0" fontId="10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horizontal="left" vertical="center"/>
    </xf>
    <xf numFmtId="169" fontId="10" fillId="0" borderId="0" applyAlignment="1" pivotButton="0" quotePrefix="0" xfId="0">
      <alignment horizontal="center" vertical="center"/>
    </xf>
    <xf numFmtId="169" fontId="10" fillId="5" borderId="0" applyAlignment="1" pivotButton="0" quotePrefix="0" xfId="0">
      <alignment horizontal="center" vertical="center"/>
    </xf>
    <xf numFmtId="0" fontId="18" fillId="2" borderId="0" applyAlignment="1" pivotButton="0" quotePrefix="0" xfId="0">
      <alignment horizontal="center" vertical="center" wrapText="1"/>
    </xf>
    <xf numFmtId="170" fontId="16" fillId="6" borderId="0" applyAlignment="1" pivotButton="0" quotePrefix="0" xfId="0">
      <alignment horizontal="center" vertical="center" wrapText="1"/>
    </xf>
    <xf numFmtId="170" fontId="16" fillId="5" borderId="0" applyAlignment="1" pivotButton="0" quotePrefix="0" xfId="0">
      <alignment horizontal="center" vertical="center" wrapText="1"/>
    </xf>
    <xf numFmtId="171" fontId="12" fillId="0" borderId="3" applyAlignment="1" pivotButton="0" quotePrefix="0" xfId="0">
      <alignment horizontal="center" vertical="center"/>
    </xf>
    <xf numFmtId="171" fontId="12" fillId="5" borderId="3" applyAlignment="1" pivotButton="0" quotePrefix="0" xfId="0">
      <alignment horizontal="center" vertical="center"/>
    </xf>
    <xf numFmtId="171" fontId="12" fillId="0" borderId="4" applyAlignment="1" pivotButton="0" quotePrefix="0" xfId="0">
      <alignment horizontal="center" vertical="center"/>
    </xf>
    <xf numFmtId="171" fontId="12" fillId="5" borderId="4" applyAlignment="1" pivotButton="0" quotePrefix="0" xfId="0">
      <alignment horizontal="center" vertical="center"/>
    </xf>
    <xf numFmtId="171" fontId="19" fillId="0" borderId="0" applyAlignment="1" pivotButton="0" quotePrefix="0" xfId="0">
      <alignment horizontal="center" vertical="center"/>
    </xf>
    <xf numFmtId="171" fontId="19" fillId="5" borderId="0" applyAlignment="1" pivotButton="0" quotePrefix="0" xfId="0">
      <alignment horizontal="center" vertical="center"/>
    </xf>
    <xf numFmtId="171" fontId="19" fillId="0" borderId="4" applyAlignment="1" pivotButton="0" quotePrefix="0" xfId="0">
      <alignment horizontal="center" vertical="center"/>
    </xf>
    <xf numFmtId="171" fontId="19" fillId="5" borderId="4" applyAlignment="1" pivotButton="0" quotePrefix="0" xfId="0">
      <alignment horizontal="center" vertical="center"/>
    </xf>
    <xf numFmtId="171" fontId="20" fillId="0" borderId="0" applyAlignment="1" pivotButton="0" quotePrefix="0" xfId="0">
      <alignment horizontal="center" vertical="center"/>
    </xf>
    <xf numFmtId="171" fontId="20" fillId="5" borderId="0" applyAlignment="1" pivotButton="0" quotePrefix="0" xfId="0">
      <alignment horizontal="center" vertical="center"/>
    </xf>
    <xf numFmtId="0" fontId="4" fillId="0" borderId="5" applyAlignment="1" pivotButton="0" quotePrefix="0" xfId="0">
      <alignment vertical="center"/>
    </xf>
    <xf numFmtId="171" fontId="20" fillId="0" borderId="6" applyAlignment="1" pivotButton="0" quotePrefix="0" xfId="0">
      <alignment horizontal="center" vertical="center"/>
    </xf>
    <xf numFmtId="171" fontId="20" fillId="5" borderId="6" applyAlignment="1" pivotButton="0" quotePrefix="0" xfId="0">
      <alignment horizontal="center" vertical="center"/>
    </xf>
    <xf numFmtId="0" fontId="4" fillId="0" borderId="7" applyAlignment="1" pivotButton="0" quotePrefix="0" xfId="0">
      <alignment vertical="center"/>
    </xf>
    <xf numFmtId="0" fontId="4" fillId="0" borderId="8" applyAlignment="1" pivotButton="0" quotePrefix="0" xfId="0">
      <alignment vertical="center"/>
    </xf>
    <xf numFmtId="0" fontId="4" fillId="0" borderId="9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1" fillId="0" borderId="0" applyAlignment="1" pivotButton="0" quotePrefix="0" xfId="0">
      <alignment horizontal="right" vertical="center"/>
    </xf>
    <xf numFmtId="171" fontId="19" fillId="0" borderId="0" applyAlignment="1" pivotButton="0" quotePrefix="0" xfId="0">
      <alignment vertical="center" wrapText="1"/>
    </xf>
    <xf numFmtId="170" fontId="16" fillId="7" borderId="0" applyAlignment="1" pivotButton="0" quotePrefix="0" xfId="0">
      <alignment horizontal="center" vertical="center" wrapText="1"/>
    </xf>
    <xf numFmtId="167" fontId="12" fillId="0" borderId="0" applyAlignment="1" pivotButton="0" quotePrefix="0" xfId="0">
      <alignment vertical="center" wrapText="1"/>
    </xf>
    <xf numFmtId="170" fontId="16" fillId="0" borderId="0" applyAlignment="1" pivotButton="0" quotePrefix="0" xfId="0">
      <alignment horizontal="center" vertical="center" wrapText="1"/>
    </xf>
    <xf numFmtId="0" fontId="0" fillId="7" borderId="8" applyAlignment="1" pivotButton="0" quotePrefix="0" xfId="0">
      <alignment vertical="center"/>
    </xf>
    <xf numFmtId="171" fontId="12" fillId="0" borderId="14" applyAlignment="1" pivotButton="0" quotePrefix="0" xfId="0">
      <alignment horizontal="center" vertical="center"/>
    </xf>
    <xf numFmtId="171" fontId="12" fillId="0" borderId="16" applyAlignment="1" pivotButton="0" quotePrefix="0" xfId="0">
      <alignment horizontal="center" vertical="center"/>
    </xf>
    <xf numFmtId="171" fontId="19" fillId="0" borderId="18" applyAlignment="1" pivotButton="0" quotePrefix="0" xfId="0">
      <alignment horizontal="center" vertical="center"/>
    </xf>
    <xf numFmtId="171" fontId="19" fillId="0" borderId="16" applyAlignment="1" pivotButton="0" quotePrefix="0" xfId="0">
      <alignment horizontal="center" vertical="center"/>
    </xf>
    <xf numFmtId="171" fontId="20" fillId="0" borderId="18" applyAlignment="1" pivotButton="0" quotePrefix="0" xfId="0">
      <alignment horizontal="center" vertical="center"/>
    </xf>
    <xf numFmtId="171" fontId="20" fillId="0" borderId="20" applyAlignment="1" pivotButton="0" quotePrefix="0" xfId="0">
      <alignment horizontal="center" vertical="center"/>
    </xf>
    <xf numFmtId="0" fontId="0" fillId="7" borderId="9" applyAlignment="1" pivotButton="0" quotePrefix="0" xfId="0">
      <alignment vertical="center"/>
    </xf>
    <xf numFmtId="0" fontId="0" fillId="7" borderId="7" applyAlignment="1" pivotButton="0" quotePrefix="0" xfId="0">
      <alignment vertical="center"/>
    </xf>
    <xf numFmtId="0" fontId="0" fillId="0" borderId="0" applyAlignment="1" pivotButton="0" quotePrefix="1" xfId="0">
      <alignment vertical="center"/>
    </xf>
    <xf numFmtId="169" fontId="28" fillId="0" borderId="0" applyAlignment="1" pivotButton="0" quotePrefix="0" xfId="0">
      <alignment horizontal="center" vertical="center"/>
    </xf>
    <xf numFmtId="171" fontId="12" fillId="0" borderId="0" applyAlignment="1" pivotButton="0" quotePrefix="0" xfId="0">
      <alignment horizontal="center" vertical="center"/>
    </xf>
    <xf numFmtId="171" fontId="12" fillId="0" borderId="18" applyAlignment="1" pivotButton="0" quotePrefix="0" xfId="0">
      <alignment horizontal="center" vertical="center"/>
    </xf>
    <xf numFmtId="0" fontId="4" fillId="0" borderId="21" applyAlignment="1" pivotButton="0" quotePrefix="0" xfId="0">
      <alignment horizontal="center" vertical="center"/>
    </xf>
    <xf numFmtId="0" fontId="4" fillId="0" borderId="2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4" fillId="0" borderId="25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 wrapText="1"/>
    </xf>
    <xf numFmtId="0" fontId="4" fillId="0" borderId="6" applyAlignment="1" pivotButton="0" quotePrefix="0" xfId="0">
      <alignment horizontal="left" vertical="center" wrapText="1"/>
    </xf>
    <xf numFmtId="0" fontId="4" fillId="0" borderId="13" applyAlignment="1" pivotButton="0" quotePrefix="0" xfId="0">
      <alignment horizontal="left" vertical="center" wrapText="1"/>
    </xf>
    <xf numFmtId="0" fontId="4" fillId="0" borderId="19" applyAlignment="1" pivotButton="0" quotePrefix="0" xfId="0">
      <alignment horizontal="left" vertical="center" wrapText="1"/>
    </xf>
    <xf numFmtId="167" fontId="19" fillId="0" borderId="0" applyAlignment="1" pivotButton="0" quotePrefix="0" xfId="0">
      <alignment horizontal="center" vertical="center"/>
    </xf>
    <xf numFmtId="167" fontId="19" fillId="0" borderId="6" applyAlignment="1" pivotButton="0" quotePrefix="0" xfId="0">
      <alignment horizontal="center" vertical="center"/>
    </xf>
    <xf numFmtId="167" fontId="19" fillId="0" borderId="3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167" fontId="4" fillId="0" borderId="6" applyAlignment="1" pivotButton="0" quotePrefix="0" xfId="0">
      <alignment horizontal="center" vertical="center"/>
    </xf>
    <xf numFmtId="167" fontId="4" fillId="0" borderId="13" applyAlignment="1" pivotButton="0" quotePrefix="0" xfId="0">
      <alignment horizontal="center" vertical="center"/>
    </xf>
    <xf numFmtId="167" fontId="4" fillId="0" borderId="19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/>
    </xf>
    <xf numFmtId="0" fontId="4" fillId="0" borderId="15" applyAlignment="1" pivotButton="0" quotePrefix="0" xfId="0">
      <alignment horizontal="left" vertical="center"/>
    </xf>
    <xf numFmtId="0" fontId="19" fillId="0" borderId="17" applyAlignment="1" pivotButton="0" quotePrefix="0" xfId="0">
      <alignment horizontal="left" vertical="center"/>
    </xf>
    <xf numFmtId="0" fontId="19" fillId="0" borderId="15" applyAlignment="1" pivotButton="0" quotePrefix="0" xfId="0">
      <alignment horizontal="left" vertical="center"/>
    </xf>
    <xf numFmtId="0" fontId="22" fillId="0" borderId="17" applyAlignment="1" pivotButton="0" quotePrefix="0" xfId="0">
      <alignment horizontal="left" vertical="center"/>
    </xf>
    <xf numFmtId="0" fontId="22" fillId="0" borderId="19" applyAlignment="1" pivotButton="0" quotePrefix="0" xfId="0">
      <alignment horizontal="left" vertical="center"/>
    </xf>
    <xf numFmtId="0" fontId="4" fillId="0" borderId="13" applyAlignment="1" pivotButton="0" quotePrefix="0" xfId="0">
      <alignment horizontal="left" vertical="center"/>
    </xf>
    <xf numFmtId="0" fontId="4" fillId="0" borderId="3" applyAlignment="1" pivotButton="0" quotePrefix="0" xfId="0">
      <alignment horizontal="left" vertical="center"/>
    </xf>
    <xf numFmtId="0" fontId="22" fillId="0" borderId="6" applyAlignment="1" pivotButton="0" quotePrefix="0" xfId="0">
      <alignment horizontal="left" vertical="center"/>
    </xf>
    <xf numFmtId="170" fontId="16" fillId="7" borderId="0" applyAlignment="1" pivotButton="0" quotePrefix="0" xfId="0">
      <alignment horizontal="center" vertical="center" wrapText="1"/>
    </xf>
    <xf numFmtId="170" fontId="16" fillId="8" borderId="10" applyAlignment="1" pivotButton="0" quotePrefix="0" xfId="0">
      <alignment horizontal="left" vertical="center" wrapText="1"/>
    </xf>
    <xf numFmtId="170" fontId="16" fillId="8" borderId="11" applyAlignment="1" pivotButton="0" quotePrefix="0" xfId="0">
      <alignment horizontal="left" vertical="center" wrapText="1"/>
    </xf>
    <xf numFmtId="170" fontId="16" fillId="8" borderId="12" applyAlignment="1" pivotButton="0" quotePrefix="0" xfId="0">
      <alignment horizontal="left" vertical="center" wrapText="1"/>
    </xf>
    <xf numFmtId="167" fontId="4" fillId="0" borderId="3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4" fillId="0" borderId="3" applyAlignment="1" pivotButton="0" quotePrefix="0" xfId="0">
      <alignment horizontal="left" vertical="center" wrapText="1"/>
    </xf>
    <xf numFmtId="170" fontId="16" fillId="8" borderId="5" applyAlignment="1" pivotButton="0" quotePrefix="0" xfId="0">
      <alignment horizontal="left" vertical="center" wrapText="1"/>
    </xf>
    <xf numFmtId="170" fontId="16" fillId="8" borderId="6" applyAlignment="1" pivotButton="0" quotePrefix="0" xfId="0">
      <alignment horizontal="left" vertical="center" wrapText="1"/>
    </xf>
    <xf numFmtId="0" fontId="4" fillId="0" borderId="22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 vertical="center"/>
    </xf>
    <xf numFmtId="0" fontId="4" fillId="0" borderId="24" applyAlignment="1" pivotButton="0" quotePrefix="0" xfId="0">
      <alignment horizontal="center" vertical="center"/>
    </xf>
    <xf numFmtId="0" fontId="4" fillId="0" borderId="4" applyAlignment="1" pivotButton="0" quotePrefix="0" xfId="0">
      <alignment horizontal="left" vertical="center"/>
    </xf>
    <xf numFmtId="0" fontId="19" fillId="0" borderId="0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/>
    </xf>
    <xf numFmtId="0" fontId="20" fillId="0" borderId="0" applyAlignment="1" pivotButton="0" quotePrefix="0" xfId="0">
      <alignment horizontal="left" vertical="center"/>
    </xf>
    <xf numFmtId="0" fontId="20" fillId="0" borderId="6" applyAlignment="1" pivotButton="0" quotePrefix="0" xfId="0">
      <alignment horizontal="left" vertical="center"/>
    </xf>
    <xf numFmtId="0" fontId="0" fillId="0" borderId="0" pivotButton="0" quotePrefix="0" xfId="0"/>
    <xf numFmtId="171" fontId="19" fillId="0" borderId="0" applyAlignment="1" pivotButton="0" quotePrefix="0" xfId="0">
      <alignment vertical="center" wrapText="1"/>
    </xf>
    <xf numFmtId="169" fontId="10" fillId="0" borderId="0" applyAlignment="1" pivotButton="0" quotePrefix="0" xfId="0">
      <alignment horizontal="center" vertical="center"/>
    </xf>
    <xf numFmtId="170" fontId="16" fillId="7" borderId="0" applyAlignment="1" pivotButton="0" quotePrefix="0" xfId="0">
      <alignment horizontal="center" vertical="center" wrapText="1"/>
    </xf>
    <xf numFmtId="167" fontId="12" fillId="0" borderId="0" applyAlignment="1" pivotButton="0" quotePrefix="0" xfId="0">
      <alignment vertical="center" wrapText="1"/>
    </xf>
    <xf numFmtId="170" fontId="16" fillId="0" borderId="0" applyAlignment="1" pivotButton="0" quotePrefix="0" xfId="0">
      <alignment horizontal="center" vertical="center" wrapText="1"/>
    </xf>
    <xf numFmtId="170" fontId="16" fillId="8" borderId="5" applyAlignment="1" pivotButton="0" quotePrefix="0" xfId="0">
      <alignment horizontal="left" vertical="center" wrapText="1"/>
    </xf>
    <xf numFmtId="0" fontId="0" fillId="0" borderId="6" pivotButton="0" quotePrefix="0" xfId="0"/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1" applyAlignment="1" pivotButton="0" quotePrefix="0" xfId="0">
      <alignment horizontal="left" vertical="center" wrapText="1"/>
    </xf>
    <xf numFmtId="167" fontId="19" fillId="0" borderId="11" applyAlignment="1" pivotButton="0" quotePrefix="0" xfId="0">
      <alignment horizontal="center" vertical="center"/>
    </xf>
    <xf numFmtId="167" fontId="4" fillId="0" borderId="11" applyAlignment="1" pivotButton="0" quotePrefix="0" xfId="0">
      <alignment horizontal="center" vertical="center"/>
    </xf>
    <xf numFmtId="0" fontId="4" fillId="0" borderId="30" applyAlignment="1" pivotButton="0" quotePrefix="0" xfId="0">
      <alignment horizontal="left" vertical="center"/>
    </xf>
    <xf numFmtId="171" fontId="12" fillId="0" borderId="3" applyAlignment="1" pivotButton="0" quotePrefix="0" xfId="0">
      <alignment horizontal="center" vertical="center"/>
    </xf>
    <xf numFmtId="171" fontId="12" fillId="0" borderId="14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15" pivotButton="0" quotePrefix="0" xfId="0"/>
    <xf numFmtId="171" fontId="12" fillId="0" borderId="4" applyAlignment="1" pivotButton="0" quotePrefix="0" xfId="0">
      <alignment horizontal="center" vertical="center"/>
    </xf>
    <xf numFmtId="171" fontId="12" fillId="0" borderId="16" applyAlignment="1" pivotButton="0" quotePrefix="0" xfId="0">
      <alignment horizontal="center" vertical="center"/>
    </xf>
    <xf numFmtId="0" fontId="19" fillId="0" borderId="27" applyAlignment="1" pivotButton="0" quotePrefix="0" xfId="0">
      <alignment horizontal="left" vertical="center"/>
    </xf>
    <xf numFmtId="171" fontId="19" fillId="0" borderId="0" applyAlignment="1" pivotButton="0" quotePrefix="0" xfId="0">
      <alignment horizontal="center" vertical="center"/>
    </xf>
    <xf numFmtId="171" fontId="19" fillId="0" borderId="18" applyAlignment="1" pivotButton="0" quotePrefix="0" xfId="0">
      <alignment horizontal="center" vertical="center"/>
    </xf>
    <xf numFmtId="171" fontId="19" fillId="0" borderId="4" applyAlignment="1" pivotButton="0" quotePrefix="0" xfId="0">
      <alignment horizontal="center" vertical="center"/>
    </xf>
    <xf numFmtId="171" fontId="19" fillId="0" borderId="16" applyAlignment="1" pivotButton="0" quotePrefix="0" xfId="0">
      <alignment horizontal="center" vertical="center"/>
    </xf>
    <xf numFmtId="0" fontId="22" fillId="0" borderId="28" applyAlignment="1" pivotButton="0" quotePrefix="0" xfId="0">
      <alignment horizontal="left" vertical="center"/>
    </xf>
    <xf numFmtId="171" fontId="20" fillId="0" borderId="0" applyAlignment="1" pivotButton="0" quotePrefix="0" xfId="0">
      <alignment horizontal="center" vertical="center"/>
    </xf>
    <xf numFmtId="171" fontId="20" fillId="0" borderId="18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19" pivotButton="0" quotePrefix="0" xfId="0"/>
    <xf numFmtId="171" fontId="20" fillId="0" borderId="6" applyAlignment="1" pivotButton="0" quotePrefix="0" xfId="0">
      <alignment horizontal="center" vertical="center"/>
    </xf>
    <xf numFmtId="171" fontId="20" fillId="0" borderId="20" applyAlignment="1" pivotButton="0" quotePrefix="0" xfId="0">
      <alignment horizontal="center" vertical="center"/>
    </xf>
    <xf numFmtId="0" fontId="4" fillId="0" borderId="32" applyAlignment="1" pivotButton="0" quotePrefix="0" xfId="0">
      <alignment horizontal="center" vertical="center"/>
    </xf>
    <xf numFmtId="0" fontId="4" fillId="0" borderId="31" applyAlignment="1" pivotButton="0" quotePrefix="0" xfId="0">
      <alignment horizontal="center" vertical="center"/>
    </xf>
    <xf numFmtId="0" fontId="4" fillId="0" borderId="31" applyAlignment="1" pivotButton="0" quotePrefix="0" xfId="0">
      <alignment horizontal="left" vertical="center" wrapText="1"/>
    </xf>
    <xf numFmtId="167" fontId="4" fillId="0" borderId="31" applyAlignment="1" pivotButton="0" quotePrefix="0" xfId="0">
      <alignment horizontal="center" vertical="center"/>
    </xf>
    <xf numFmtId="0" fontId="4" fillId="0" borderId="26" applyAlignment="1" pivotButton="0" quotePrefix="0" xfId="0">
      <alignment horizontal="left" vertical="center"/>
    </xf>
    <xf numFmtId="0" fontId="22" fillId="0" borderId="29" applyAlignment="1" pivotButton="0" quotePrefix="0" xfId="0">
      <alignment horizontal="left" vertical="center"/>
    </xf>
    <xf numFmtId="170" fontId="16" fillId="8" borderId="34" applyAlignment="1" pivotButton="0" quotePrefix="0" xfId="0">
      <alignment horizontal="left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22" pivotButton="0" quotePrefix="0" xfId="0"/>
    <xf numFmtId="0" fontId="0" fillId="0" borderId="23" pivotButton="0" quotePrefix="0" xfId="0"/>
    <xf numFmtId="0" fontId="4" fillId="0" borderId="33" applyAlignment="1" pivotButton="0" quotePrefix="0" xfId="0">
      <alignment horizontal="center" vertical="center"/>
    </xf>
    <xf numFmtId="169" fontId="28" fillId="0" borderId="0" applyAlignment="1" pivotButton="0" quotePrefix="0" xfId="0">
      <alignment horizontal="center" vertical="center"/>
    </xf>
    <xf numFmtId="167" fontId="19" fillId="0" borderId="6" applyAlignment="1" pivotButton="0" quotePrefix="0" xfId="0">
      <alignment horizontal="center" vertical="center"/>
    </xf>
    <xf numFmtId="167" fontId="4" fillId="0" borderId="6" applyAlignment="1" pivotButton="0" quotePrefix="0" xfId="0">
      <alignment horizontal="center" vertical="center"/>
    </xf>
    <xf numFmtId="171" fontId="12" fillId="0" borderId="0" applyAlignment="1" pivotButton="0" quotePrefix="0" xfId="0">
      <alignment horizontal="center" vertical="center"/>
    </xf>
    <xf numFmtId="171" fontId="12" fillId="0" borderId="18" applyAlignment="1" pivotButton="0" quotePrefix="0" xfId="0">
      <alignment horizontal="center" vertical="center"/>
    </xf>
    <xf numFmtId="167" fontId="4" fillId="0" borderId="35" applyAlignment="1" pivotButton="0" quotePrefix="0" xfId="0">
      <alignment horizontal="center" vertical="center"/>
    </xf>
    <xf numFmtId="0" fontId="0" fillId="0" borderId="25" pivotButton="0" quotePrefix="0" xfId="0"/>
    <xf numFmtId="169" fontId="10" fillId="5" borderId="0" applyAlignment="1" pivotButton="0" quotePrefix="0" xfId="0">
      <alignment horizontal="center" vertical="center"/>
    </xf>
    <xf numFmtId="170" fontId="16" fillId="6" borderId="0" applyAlignment="1" pivotButton="0" quotePrefix="0" xfId="0">
      <alignment horizontal="center" vertical="center" wrapText="1"/>
    </xf>
    <xf numFmtId="170" fontId="16" fillId="5" borderId="0" applyAlignment="1" pivotButton="0" quotePrefix="0" xfId="0">
      <alignment horizontal="center" vertical="center" wrapText="1"/>
    </xf>
    <xf numFmtId="0" fontId="4" fillId="0" borderId="36" applyAlignment="1" pivotButton="0" quotePrefix="0" xfId="0">
      <alignment horizontal="left" vertical="center"/>
    </xf>
    <xf numFmtId="171" fontId="12" fillId="5" borderId="3" applyAlignment="1" pivotButton="0" quotePrefix="0" xfId="0">
      <alignment horizontal="center" vertical="center"/>
    </xf>
    <xf numFmtId="0" fontId="0" fillId="0" borderId="4" pivotButton="0" quotePrefix="0" xfId="0"/>
    <xf numFmtId="171" fontId="12" fillId="5" borderId="4" applyAlignment="1" pivotButton="0" quotePrefix="0" xfId="0">
      <alignment horizontal="center" vertical="center"/>
    </xf>
    <xf numFmtId="171" fontId="19" fillId="5" borderId="0" applyAlignment="1" pivotButton="0" quotePrefix="0" xfId="0">
      <alignment horizontal="center" vertical="center"/>
    </xf>
    <xf numFmtId="171" fontId="19" fillId="5" borderId="4" applyAlignment="1" pivotButton="0" quotePrefix="0" xfId="0">
      <alignment horizontal="center" vertical="center"/>
    </xf>
    <xf numFmtId="171" fontId="20" fillId="5" borderId="0" applyAlignment="1" pivotButton="0" quotePrefix="0" xfId="0">
      <alignment horizontal="center" vertical="center"/>
    </xf>
    <xf numFmtId="171" fontId="20" fillId="5" borderId="6" applyAlignment="1" pivotButton="0" quotePrefix="0" xfId="0">
      <alignment horizontal="center" vertical="center"/>
    </xf>
    <xf numFmtId="168" fontId="0" fillId="0" borderId="0" applyAlignment="1" pivotButton="0" quotePrefix="0" xfId="0">
      <alignment vertical="center"/>
    </xf>
    <xf numFmtId="164" fontId="2" fillId="0" borderId="0" applyAlignment="1" pivotButton="0" quotePrefix="0" xfId="0">
      <alignment vertical="center" wrapText="1"/>
    </xf>
    <xf numFmtId="166" fontId="2" fillId="0" borderId="0" applyAlignment="1" pivotButton="0" quotePrefix="0" xfId="0">
      <alignment vertical="center"/>
    </xf>
    <xf numFmtId="167" fontId="5" fillId="0" borderId="0" applyAlignment="1" pivotButton="0" quotePrefix="0" xfId="0">
      <alignment vertical="center"/>
    </xf>
    <xf numFmtId="167" fontId="6" fillId="0" borderId="0" applyAlignment="1" pivotButton="0" quotePrefix="0" xfId="0">
      <alignment vertical="center"/>
    </xf>
    <xf numFmtId="167" fontId="5" fillId="0" borderId="3" applyAlignment="1" pivotButton="0" quotePrefix="0" xfId="0">
      <alignment vertical="center"/>
    </xf>
    <xf numFmtId="167" fontId="6" fillId="0" borderId="3" applyAlignment="1" pivotButton="0" quotePrefix="0" xfId="0">
      <alignment vertical="center"/>
    </xf>
    <xf numFmtId="164" fontId="2" fillId="3" borderId="0" applyAlignment="1" pivotButton="0" quotePrefix="0" xfId="0">
      <alignment horizontal="right" vertical="center"/>
    </xf>
    <xf numFmtId="164" fontId="2" fillId="3" borderId="0" applyAlignment="1" pivotButton="0" quotePrefix="0" xfId="0">
      <alignment horizontal="center" vertical="center" wrapText="1"/>
    </xf>
    <xf numFmtId="164" fontId="2" fillId="3" borderId="0" applyAlignment="1" pivotButton="0" quotePrefix="0" xfId="0">
      <alignment horizontal="right" vertical="center" wrapText="1"/>
    </xf>
    <xf numFmtId="164" fontId="2" fillId="0" borderId="0" applyAlignment="1" pivotButton="0" quotePrefix="0" xfId="0">
      <alignment vertical="center"/>
    </xf>
    <xf numFmtId="165" fontId="2" fillId="0" borderId="0" applyAlignment="1" pivotButton="0" quotePrefix="0" xfId="0">
      <alignment vertical="center"/>
    </xf>
  </cellXfs>
  <cellStyles count="2">
    <cellStyle name="常规" xfId="0" builtinId="0"/>
    <cellStyle name="常规 3" xfId="1"/>
  </cellStyles>
  <dxfs count="1014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 val="1"/>
        <color theme="9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7998596148564104"/>
        </patternFill>
      </fill>
    </dxf>
    <dxf>
      <fill>
        <patternFill patternType="solid">
          <bgColor theme="6" tint="0.7998596148564104"/>
        </patternFill>
      </fill>
    </dxf>
    <dxf>
      <font>
        <color theme="0" tint="-0.499984740745262"/>
      </font>
    </dxf>
    <dxf>
      <font>
        <color theme="0" tint="-0.499984740745262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b val="1"/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theme="9" tint="0.7998901333658864"/>
        </patternFill>
      </fill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ont>
        <b val="1"/>
        <color theme="9"/>
      </font>
    </dxf>
    <dxf>
      <fill>
        <patternFill patternType="solid">
          <bgColor theme="9" tint="0.799890133365886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ill>
        <gradientFill type="linear" degree="90">
          <stop position="0">
            <color theme="3" tint="0.8996551408429212"/>
          </stop>
          <stop position="1">
            <color theme="3" tint="0.8996551408429212"/>
          </stop>
        </gradient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rgb="FFC00000"/>
      </font>
      <fill>
        <patternFill patternType="solid">
          <bgColor theme="5" tint="0.5999938962981048"/>
        </patternFill>
      </fill>
    </dxf>
    <dxf>
      <font>
        <color theme="5"/>
      </font>
      <fill>
        <patternFill patternType="solid">
          <bgColor theme="7" tint="0.7996765037995545"/>
        </patternFill>
      </fill>
    </dxf>
    <dxf>
      <font>
        <color theme="5"/>
      </font>
      <fill>
        <patternFill patternType="solid">
          <bgColor theme="4" tint="0.799676503799554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theme="7" tint="0.7997680593279825"/>
        </patternFill>
      </fill>
    </dxf>
    <dxf>
      <fill>
        <patternFill patternType="solid">
          <bgColor rgb="FFFFC000"/>
        </patternFill>
      </fill>
    </dxf>
    <dxf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b val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top style="thin">
          <color theme="4" tint="0.3999450666829432"/>
        </top>
        <bottom style="thin">
          <color theme="4" tint="0.3999450666829432"/>
        </bottom>
      </border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"/>
        </horizontal>
      </border>
    </dxf>
  </dxfs>
  <tableStyles count="2" defaultTableStyle="TableStylePreset3_Accent1" defaultPivotStyle="PivotStylePreset2_Accent1">
    <tableStyle name="TableStylePreset3_Accent1" pivot="0" count="7">
      <tableStyleElement type="wholeTable" dxfId="10141"/>
      <tableStyleElement type="headerRow" dxfId="10140"/>
      <tableStyleElement type="totalRow" dxfId="10139"/>
      <tableStyleElement type="firstColumn" dxfId="10138"/>
      <tableStyleElement type="lastColumn" dxfId="10137"/>
      <tableStyleElement type="firstRowStripe" dxfId="10136"/>
      <tableStyleElement type="firstColumnStripe" dxfId="10135"/>
    </tableStyle>
    <tableStyle name="PivotStylePreset2_Accent1" table="0" count="10">
      <tableStyleElement type="headerRow" dxfId="10134"/>
      <tableStyleElement type="totalRow" dxfId="10133"/>
      <tableStyleElement type="firstRowStripe" dxfId="10132"/>
      <tableStyleElement type="firstColumnStripe" dxfId="10131"/>
      <tableStyleElement type="firstSubtotalRow" dxfId="10130"/>
      <tableStyleElement type="secondSubtotalRow" dxfId="10129"/>
      <tableStyleElement type="firstRowSubheading" dxfId="10128"/>
      <tableStyleElement type="secondRowSubheading" dxfId="10127"/>
      <tableStyleElement type="pageFieldLabels" dxfId="10126"/>
      <tableStyleElement type="pageFieldValues" dxfId="101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4">
    <outlinePr summaryBelow="0"/>
    <pageSetUpPr fitToPage="1"/>
  </sheetPr>
  <dimension ref="A1:AI54"/>
  <sheetViews>
    <sheetView workbookViewId="0">
      <pane ySplit="6" topLeftCell="A7" activePane="bottomLeft" state="frozen"/>
      <selection pane="bottomLeft" activeCell="F13" sqref="F13:F18"/>
    </sheetView>
  </sheetViews>
  <sheetFormatPr baseColWidth="10" defaultColWidth="9.1640625" defaultRowHeight="14"/>
  <cols>
    <col width="9.5" customWidth="1" style="129" min="2" max="2"/>
    <col width="15.5" customWidth="1" style="129" min="4" max="4"/>
    <col width="16.1640625" customWidth="1" style="129" min="5" max="5"/>
    <col width="20" customWidth="1" style="129" min="6" max="8"/>
    <col width="14.1640625" customWidth="1" style="129" min="9" max="9"/>
    <col width="11.1640625" customWidth="1" style="129" min="10" max="35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</row>
    <row r="4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31" t="n">
        <v>4</v>
      </c>
      <c r="K4" s="131" t="n">
        <v>5</v>
      </c>
      <c r="L4" s="131" t="n">
        <v>6</v>
      </c>
      <c r="M4" s="132" t="inlineStr">
        <is>
          <t>周末/假期</t>
        </is>
      </c>
      <c r="N4" s="131" t="n">
        <v>2</v>
      </c>
      <c r="O4" s="131" t="n">
        <v>3</v>
      </c>
      <c r="P4" s="131" t="n">
        <v>4</v>
      </c>
      <c r="Q4" s="131" t="n">
        <v>5</v>
      </c>
      <c r="R4" s="131" t="n">
        <v>6</v>
      </c>
      <c r="S4" s="132" t="inlineStr">
        <is>
          <t>周末/假期</t>
        </is>
      </c>
      <c r="T4" s="131" t="n">
        <v>2</v>
      </c>
      <c r="U4" s="131" t="n">
        <v>3</v>
      </c>
      <c r="V4" s="131" t="n">
        <v>4</v>
      </c>
      <c r="W4" s="131" t="n">
        <v>5</v>
      </c>
      <c r="X4" s="131" t="n">
        <v>6</v>
      </c>
      <c r="Y4" s="132" t="inlineStr">
        <is>
          <t>周末/假期</t>
        </is>
      </c>
      <c r="Z4" s="131" t="n">
        <v>2</v>
      </c>
      <c r="AA4" s="131" t="n">
        <v>3</v>
      </c>
      <c r="AB4" s="131" t="n">
        <v>4</v>
      </c>
      <c r="AC4" s="131" t="n">
        <v>5</v>
      </c>
      <c r="AD4" s="131" t="n">
        <v>6</v>
      </c>
      <c r="AE4" s="132" t="inlineStr">
        <is>
          <t>周末/假期</t>
        </is>
      </c>
      <c r="AF4" s="131" t="n">
        <v>2</v>
      </c>
      <c r="AG4" s="131" t="n">
        <v>3</v>
      </c>
      <c r="AH4" s="131" t="n">
        <v>4</v>
      </c>
      <c r="AI4" s="131" t="n">
        <v>5</v>
      </c>
    </row>
    <row r="5" ht="39" customHeight="1" s="129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46113</v>
      </c>
      <c r="K5" s="134" t="n">
        <v>46114</v>
      </c>
      <c r="L5" s="134" t="n">
        <v>46115</v>
      </c>
      <c r="N5" s="134" t="n">
        <v>46118</v>
      </c>
      <c r="O5" s="134" t="n">
        <v>46119</v>
      </c>
      <c r="P5" s="134" t="n">
        <v>46120</v>
      </c>
      <c r="Q5" s="134" t="n">
        <v>46121</v>
      </c>
      <c r="R5" s="134" t="n">
        <v>46122</v>
      </c>
      <c r="T5" s="134" t="n">
        <v>46125</v>
      </c>
      <c r="U5" s="134" t="n">
        <v>46126</v>
      </c>
      <c r="V5" s="134" t="n">
        <v>46127</v>
      </c>
      <c r="W5" s="134" t="n">
        <v>46128</v>
      </c>
      <c r="X5" s="134" t="n">
        <v>46129</v>
      </c>
      <c r="Z5" s="134" t="n">
        <v>46132</v>
      </c>
      <c r="AA5" s="134" t="n">
        <v>46133</v>
      </c>
      <c r="AB5" s="134" t="n">
        <v>46134</v>
      </c>
      <c r="AC5" s="134" t="n">
        <v>46135</v>
      </c>
      <c r="AD5" s="134" t="n">
        <v>46136</v>
      </c>
      <c r="AF5" s="134" t="n">
        <v>46139</v>
      </c>
      <c r="AG5" s="134" t="n">
        <v>46140</v>
      </c>
      <c r="AH5" s="134" t="n">
        <v>46141</v>
      </c>
      <c r="AI5" s="134" t="n">
        <v>46142</v>
      </c>
    </row>
    <row r="6" ht="17" customHeight="1" s="129">
      <c r="A6" s="135" t="inlineStr">
        <is>
          <t>重点关注</t>
        </is>
      </c>
      <c r="B6" s="136" t="n"/>
      <c r="C6" s="136" t="n"/>
      <c r="D6" s="136" t="n"/>
      <c r="E6" s="136" t="n"/>
      <c r="F6" s="136" t="n"/>
      <c r="G6" s="136" t="n"/>
      <c r="H6" s="136" t="n"/>
      <c r="I6" s="136" t="n"/>
      <c r="J6" s="136" t="n"/>
      <c r="K6" s="136" t="n"/>
      <c r="L6" s="136" t="n"/>
      <c r="M6" s="136" t="n"/>
      <c r="N6" s="136" t="n"/>
      <c r="O6" s="136" t="n"/>
      <c r="P6" s="136" t="n"/>
      <c r="Q6" s="136" t="n"/>
      <c r="R6" s="136" t="n"/>
      <c r="S6" s="136" t="n"/>
      <c r="T6" s="136" t="n"/>
      <c r="U6" s="136" t="n"/>
      <c r="V6" s="136" t="n"/>
      <c r="W6" s="136" t="n"/>
      <c r="X6" s="136" t="n"/>
      <c r="Y6" s="136" t="n"/>
      <c r="Z6" s="136" t="n"/>
      <c r="AA6" s="136" t="n"/>
      <c r="AB6" s="136" t="n"/>
      <c r="AC6" s="136" t="n"/>
      <c r="AD6" s="136" t="n"/>
      <c r="AE6" s="136" t="n"/>
      <c r="AF6" s="136" t="n"/>
      <c r="AG6" s="136" t="n"/>
      <c r="AH6" s="136" t="n"/>
      <c r="AI6" s="136" t="n"/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</sheetData>
  <mergeCells count="93">
    <mergeCell ref="G31:G36"/>
    <mergeCell ref="B25:B30"/>
    <mergeCell ref="F7:F12"/>
    <mergeCell ref="F19:F24"/>
    <mergeCell ref="B43:B48"/>
    <mergeCell ref="D49:D54"/>
    <mergeCell ref="E13:E18"/>
    <mergeCell ref="G13:G18"/>
    <mergeCell ref="G7:G12"/>
    <mergeCell ref="I17:I18"/>
    <mergeCell ref="H49:H54"/>
    <mergeCell ref="I43:I44"/>
    <mergeCell ref="F31:F36"/>
    <mergeCell ref="I51:I52"/>
    <mergeCell ref="I29:I30"/>
    <mergeCell ref="D25:D30"/>
    <mergeCell ref="H19:H24"/>
    <mergeCell ref="I35:I36"/>
    <mergeCell ref="H37:H42"/>
    <mergeCell ref="I31:I32"/>
    <mergeCell ref="AE4:AE5"/>
    <mergeCell ref="E25:E30"/>
    <mergeCell ref="G25:G30"/>
    <mergeCell ref="I15:I16"/>
    <mergeCell ref="A19:A24"/>
    <mergeCell ref="C19:C24"/>
    <mergeCell ref="I45:I46"/>
    <mergeCell ref="B7:B12"/>
    <mergeCell ref="H43:H48"/>
    <mergeCell ref="I7:I8"/>
    <mergeCell ref="C49:C54"/>
    <mergeCell ref="A6:AI6"/>
    <mergeCell ref="I33:I34"/>
    <mergeCell ref="A37:A42"/>
    <mergeCell ref="C31:C36"/>
    <mergeCell ref="E31:E36"/>
    <mergeCell ref="I19:I20"/>
    <mergeCell ref="D37:D42"/>
    <mergeCell ref="I9:I10"/>
    <mergeCell ref="A13:A18"/>
    <mergeCell ref="C7:C12"/>
    <mergeCell ref="E7:E12"/>
    <mergeCell ref="A43:A48"/>
    <mergeCell ref="F49:F54"/>
    <mergeCell ref="I11:I12"/>
    <mergeCell ref="G43:G48"/>
    <mergeCell ref="B31:B36"/>
    <mergeCell ref="D31:D36"/>
    <mergeCell ref="A49:A54"/>
    <mergeCell ref="E43:E48"/>
    <mergeCell ref="H31:H36"/>
    <mergeCell ref="I53:I54"/>
    <mergeCell ref="I47:I48"/>
    <mergeCell ref="A25:A30"/>
    <mergeCell ref="C25:C30"/>
    <mergeCell ref="E19:E24"/>
    <mergeCell ref="I37:I38"/>
    <mergeCell ref="G19:G24"/>
    <mergeCell ref="G37:G42"/>
    <mergeCell ref="I39:I40"/>
    <mergeCell ref="H7:H12"/>
    <mergeCell ref="D43:D48"/>
    <mergeCell ref="F43:F48"/>
    <mergeCell ref="I23:I24"/>
    <mergeCell ref="B19:B24"/>
    <mergeCell ref="B49:B54"/>
    <mergeCell ref="I49:I50"/>
    <mergeCell ref="C13:C18"/>
    <mergeCell ref="I27:I28"/>
    <mergeCell ref="D19:D24"/>
    <mergeCell ref="A31:A36"/>
    <mergeCell ref="C37:C42"/>
    <mergeCell ref="F25:F30"/>
    <mergeCell ref="H25:H30"/>
    <mergeCell ref="I41:I42"/>
    <mergeCell ref="I25:I26"/>
    <mergeCell ref="A7:A12"/>
    <mergeCell ref="I21:I22"/>
    <mergeCell ref="B37:B42"/>
    <mergeCell ref="B13:B18"/>
    <mergeCell ref="C43:C48"/>
    <mergeCell ref="D13:D18"/>
    <mergeCell ref="D7:D12"/>
    <mergeCell ref="I13:I14"/>
    <mergeCell ref="S4:S5"/>
    <mergeCell ref="E49:E54"/>
    <mergeCell ref="G49:G54"/>
    <mergeCell ref="F13:F18"/>
    <mergeCell ref="H13:H18"/>
    <mergeCell ref="M4:M5"/>
    <mergeCell ref="Y4:Y5"/>
    <mergeCell ref="F37:F42"/>
    <mergeCell ref="E37:E42"/>
  </mergeCells>
  <conditionalFormatting sqref="G4:H4">
    <cfRule type="expression" priority="298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299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300" dxfId="9104">
      <formula>AND(G4&lt;&gt;"--:--",#REF!&lt;&gt;"--:--",ABS(TIMEVALUE(G4)-TIMEVALUE(#REF!))*1440&lt;30)</formula>
    </cfRule>
    <cfRule type="containsText" priority="301" operator="containsText" dxfId="9103" text="早退">
      <formula>NOT(ISERROR(SEARCH("早退",G4)))</formula>
    </cfRule>
    <cfRule type="containsText" priority="302" operator="containsText" dxfId="9102" text="迟到">
      <formula>NOT(ISERROR(SEARCH("迟到",G4)))</formula>
    </cfRule>
    <cfRule type="containsText" priority="303" operator="containsText" dxfId="9100" text="缺勤">
      <formula>NOT(ISERROR(SEARCH("缺勤",G4)))</formula>
    </cfRule>
    <cfRule type="containsText" priority="304" operator="containsText" dxfId="9100" text="旷工">
      <formula>NOT(ISERROR(SEARCH("旷工",G4)))</formula>
    </cfRule>
    <cfRule type="containsText" priority="305" operator="containsText" dxfId="9099" text="冲销">
      <formula>NOT(ISERROR(SEARCH("冲销",G4)))</formula>
    </cfRule>
    <cfRule type="containsText" priority="306" operator="containsText" dxfId="9098" text="异常打卡">
      <formula>NOT(ISERROR(SEARCH("异常打卡",G4)))</formula>
    </cfRule>
    <cfRule type="containsText" priority="307" operator="containsText" dxfId="9097" text="正常打卡">
      <formula>NOT(ISERROR(SEARCH("正常打卡",G4)))</formula>
    </cfRule>
  </conditionalFormatting>
  <conditionalFormatting sqref="F5">
    <cfRule type="expression" priority="297" dxfId="9065">
      <formula>F5&lt;F4</formula>
    </cfRule>
  </conditionalFormatting>
  <conditionalFormatting sqref="N7:R7">
    <cfRule type="expression" priority="242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T7:X7">
    <cfRule type="expression" priority="194" dxfId="4514">
      <formula>AND(ISNUMBER(TIMEVALUE(LEFT(T7,FIND("(",T7&amp;"(")-1))),ISNUMBER(TIMEVALUE(LEFT(T9,FIND("(",T9&amp;"(")-1))),IF(TIMEVALUE(LEFT(T7,FIND("(",T7&amp;"(")-1))&lt;=TIME(3,59,59),TIMEVALUE(LEFT(T7,FIND("(",T7&amp;"(")-1))+1,TIMEVALUE(LEFT(T7,FIND("(",T7&amp;"(")-1)))+60/1440&lt;IF(TIMEVALUE(LEFT(T9,FIND("(",T9&amp;"(")-1))&lt;=TIME(3,59,59),TIMEVALUE(LEFT(T9,FIND("(",T9&amp;"(")-1))+1,TIMEVALUE(LEFT(T9,FIND("(",T9&amp;"(")-1))))</formula>
    </cfRule>
  </conditionalFormatting>
  <conditionalFormatting sqref="Z7:AD7">
    <cfRule type="expression" priority="146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AF7:AI7">
    <cfRule type="expression" priority="23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N8:R8">
    <cfRule type="expression" priority="243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T8:X8">
    <cfRule type="expression" priority="195" dxfId="4514">
      <formula>AND(ISNUMBER(TIMEVALUE(LEFT(T8,FIND("(",T8&amp;"(")-1))),ISNUMBER(TIMEVALUE(LEFT(T10,FIND("(",T10&amp;"(")-1))),IF(TIMEVALUE(LEFT(T8,FIND("(",T8&amp;"(")-1))&lt;=TIME(3,59,59),TIMEVALUE(LEFT(T8,FIND("(",T8&amp;"(")-1))+1,TIMEVALUE(LEFT(T8,FIND("(",T8&amp;"(")-1)))-60/1440&gt;IF(TIMEVALUE(LEFT(T10,FIND("(",T10&amp;"(")-1))&lt;=TIME(3,59,59),TIMEVALUE(LEFT(T10,FIND("(",T10&amp;"(")-1))+1,TIMEVALUE(LEFT(T10,FIND("(",T10&amp;"(")-1))))</formula>
    </cfRule>
  </conditionalFormatting>
  <conditionalFormatting sqref="Z8:AD8">
    <cfRule type="expression" priority="147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AF8:AI8">
    <cfRule type="expression" priority="24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N13:R13">
    <cfRule type="expression" priority="212" dxfId="4514">
      <formula>AND(ISNUMBER(TIMEVALUE(LEFT(N13,FIND("(",N13&amp;"(")-1))),ISNUMBER(TIMEVALUE(LEFT(N15,FIND("(",N15&amp;"(")-1))),IF(TIMEVALUE(LEFT(N13,FIND("(",N13&amp;"(")-1))&lt;=TIME(3,59,59),TIMEVALUE(LEFT(N13,FIND("(",N13&amp;"(")-1))+1,TIMEVALUE(LEFT(N13,FIND("(",N13&amp;"(")-1)))+60/1440&lt;IF(TIMEVALUE(LEFT(N15,FIND("(",N15&amp;"(")-1))&lt;=TIME(3,59,59),TIMEVALUE(LEFT(N15,FIND("(",N15&amp;"(")-1))+1,TIMEVALUE(LEFT(N15,FIND("(",N15&amp;"(")-1))))</formula>
    </cfRule>
  </conditionalFormatting>
  <conditionalFormatting sqref="T13:X13">
    <cfRule type="expression" priority="164" dxfId="4514">
      <formula>AND(ISNUMBER(TIMEVALUE(LEFT(T13,FIND("(",T13&amp;"(")-1))),ISNUMBER(TIMEVALUE(LEFT(T15,FIND("(",T15&amp;"(")-1))),IF(TIMEVALUE(LEFT(T13,FIND("(",T13&amp;"(")-1))&lt;=TIME(3,59,59),TIMEVALUE(LEFT(T13,FIND("(",T13&amp;"(")-1))+1,TIMEVALUE(LEFT(T13,FIND("(",T13&amp;"(")-1)))+60/1440&lt;IF(TIMEVALUE(LEFT(T15,FIND("(",T15&amp;"(")-1))&lt;=TIME(3,59,59),TIMEVALUE(LEFT(T15,FIND("(",T15&amp;"(")-1))+1,TIMEVALUE(LEFT(T15,FIND("(",T15&amp;"(")-1))))</formula>
    </cfRule>
  </conditionalFormatting>
  <conditionalFormatting sqref="Z13:AD13">
    <cfRule type="expression" priority="116" dxfId="4514">
      <formula>AND(ISNUMBER(TIMEVALUE(LEFT(Z13,FIND("(",Z13&amp;"(")-1))),ISNUMBER(TIMEVALUE(LEFT(Z15,FIND("(",Z15&amp;"(")-1))),IF(TIMEVALUE(LEFT(Z13,FIND("(",Z13&amp;"(")-1))&lt;=TIME(3,59,59),TIMEVALUE(LEFT(Z13,FIND("(",Z13&amp;"(")-1))+1,TIMEVALUE(LEFT(Z13,FIND("(",Z13&amp;"(")-1)))+60/1440&lt;IF(TIMEVALUE(LEFT(Z15,FIND("(",Z15&amp;"(")-1))&lt;=TIME(3,59,59),TIMEVALUE(LEFT(Z15,FIND("(",Z15&amp;"(")-1))+1,TIMEVALUE(LEFT(Z15,FIND("(",Z15&amp;"(")-1))))</formula>
    </cfRule>
  </conditionalFormatting>
  <conditionalFormatting sqref="AF13:AI13">
    <cfRule type="expression" priority="8" dxfId="4514">
      <formula>AND(ISNUMBER(TIMEVALUE(LEFT(AF13,FIND("(",AF13&amp;"(")-1))),ISNUMBER(TIMEVALUE(LEFT(AF15,FIND("(",AF15&amp;"(")-1))),IF(TIMEVALUE(LEFT(AF13,FIND("(",AF13&amp;"(")-1))&lt;=TIME(3,59,59),TIMEVALUE(LEFT(AF13,FIND("(",AF13&amp;"(")-1))+1,TIMEVALUE(LEFT(AF13,FIND("(",AF13&amp;"(")-1)))+60/1440&lt;IF(TIMEVALUE(LEFT(AF15,FIND("(",AF15&amp;"(")-1))&lt;=TIME(3,59,59),TIMEVALUE(LEFT(AF15,FIND("(",AF15&amp;"(")-1))+1,TIMEVALUE(LEFT(AF15,FIND("(",AF15&amp;"(")-1))))</formula>
    </cfRule>
  </conditionalFormatting>
  <conditionalFormatting sqref="N14:R14">
    <cfRule type="expression" priority="213" dxfId="4514">
      <formula>AND(ISNUMBER(TIMEVALUE(LEFT(N14,FIND("(",N14&amp;"(")-1))),ISNUMBER(TIMEVALUE(LEFT(N16,FIND("(",N16&amp;"(")-1))),IF(TIMEVALUE(LEFT(N14,FIND("(",N14&amp;"(")-1))&lt;=TIME(3,59,59),TIMEVALUE(LEFT(N14,FIND("(",N14&amp;"(")-1))+1,TIMEVALUE(LEFT(N14,FIND("(",N14&amp;"(")-1)))-60/1440&gt;IF(TIMEVALUE(LEFT(N16,FIND("(",N16&amp;"(")-1))&lt;=TIME(3,59,59),TIMEVALUE(LEFT(N16,FIND("(",N16&amp;"(")-1))+1,TIMEVALUE(LEFT(N16,FIND("(",N16&amp;"(")-1))))</formula>
    </cfRule>
  </conditionalFormatting>
  <conditionalFormatting sqref="T14:X14">
    <cfRule type="expression" priority="165" dxfId="4514">
      <formula>AND(ISNUMBER(TIMEVALUE(LEFT(T14,FIND("(",T14&amp;"(")-1))),ISNUMBER(TIMEVALUE(LEFT(T16,FIND("(",T16&amp;"(")-1))),IF(TIMEVALUE(LEFT(T14,FIND("(",T14&amp;"(")-1))&lt;=TIME(3,59,59),TIMEVALUE(LEFT(T14,FIND("(",T14&amp;"(")-1))+1,TIMEVALUE(LEFT(T14,FIND("(",T14&amp;"(")-1)))-60/1440&gt;IF(TIMEVALUE(LEFT(T16,FIND("(",T16&amp;"(")-1))&lt;=TIME(3,59,59),TIMEVALUE(LEFT(T16,FIND("(",T16&amp;"(")-1))+1,TIMEVALUE(LEFT(T16,FIND("(",T16&amp;"(")-1))))</formula>
    </cfRule>
  </conditionalFormatting>
  <conditionalFormatting sqref="Z14:AD14">
    <cfRule type="expression" priority="117" dxfId="4514">
      <formula>AND(ISNUMBER(TIMEVALUE(LEFT(Z14,FIND("(",Z14&amp;"(")-1))),ISNUMBER(TIMEVALUE(LEFT(Z16,FIND("(",Z16&amp;"(")-1))),IF(TIMEVALUE(LEFT(Z14,FIND("(",Z14&amp;"(")-1))&lt;=TIME(3,59,59),TIMEVALUE(LEFT(Z14,FIND("(",Z14&amp;"(")-1))+1,TIMEVALUE(LEFT(Z14,FIND("(",Z14&amp;"(")-1)))-60/1440&gt;IF(TIMEVALUE(LEFT(Z16,FIND("(",Z16&amp;"(")-1))&lt;=TIME(3,59,59),TIMEVALUE(LEFT(Z16,FIND("(",Z16&amp;"(")-1))+1,TIMEVALUE(LEFT(Z16,FIND("(",Z16&amp;"(")-1))))</formula>
    </cfRule>
  </conditionalFormatting>
  <conditionalFormatting sqref="AF14:AI14">
    <cfRule type="expression" priority="9" dxfId="4514">
      <formula>AND(ISNUMBER(TIMEVALUE(LEFT(AF14,FIND("(",AF14&amp;"(")-1))),ISNUMBER(TIMEVALUE(LEFT(AF16,FIND("(",AF16&amp;"(")-1))),IF(TIMEVALUE(LEFT(AF14,FIND("(",AF14&amp;"(")-1))&lt;=TIME(3,59,59),TIMEVALUE(LEFT(AF14,FIND("(",AF14&amp;"(")-1))+1,TIMEVALUE(LEFT(AF14,FIND("(",AF14&amp;"(")-1)))-60/1440&gt;IF(TIMEVALUE(LEFT(AF16,FIND("(",AF16&amp;"(")-1))&lt;=TIME(3,59,59),TIMEVALUE(LEFT(AF16,FIND("(",AF16&amp;"(")-1))+1,TIMEVALUE(LEFT(AF16,FIND("(",AF16&amp;"(")-1))))</formula>
    </cfRule>
  </conditionalFormatting>
  <conditionalFormatting sqref="N19:R19">
    <cfRule type="expression" priority="236" dxfId="4514">
      <formula>AND(ISNUMBER(TIMEVALUE(LEFT(N19,FIND("(",N19&amp;"(")-1))),ISNUMBER(TIMEVALUE(LEFT(N21,FIND("(",N21&amp;"(")-1))),IF(TIMEVALUE(LEFT(N19,FIND("(",N19&amp;"(")-1))&lt;=TIME(3,59,59),TIMEVALUE(LEFT(N19,FIND("(",N19&amp;"(")-1))+1,TIMEVALUE(LEFT(N19,FIND("(",N19&amp;"(")-1)))+60/1440&lt;IF(TIMEVALUE(LEFT(N21,FIND("(",N21&amp;"(")-1))&lt;=TIME(3,59,59),TIMEVALUE(LEFT(N21,FIND("(",N21&amp;"(")-1))+1,TIMEVALUE(LEFT(N21,FIND("(",N21&amp;"(")-1))))</formula>
    </cfRule>
  </conditionalFormatting>
  <conditionalFormatting sqref="T19:X19">
    <cfRule type="expression" priority="188" dxfId="4514">
      <formula>AND(ISNUMBER(TIMEVALUE(LEFT(T19,FIND("(",T19&amp;"(")-1))),ISNUMBER(TIMEVALUE(LEFT(T21,FIND("(",T21&amp;"(")-1))),IF(TIMEVALUE(LEFT(T19,FIND("(",T19&amp;"(")-1))&lt;=TIME(3,59,59),TIMEVALUE(LEFT(T19,FIND("(",T19&amp;"(")-1))+1,TIMEVALUE(LEFT(T19,FIND("(",T19&amp;"(")-1)))+60/1440&lt;IF(TIMEVALUE(LEFT(T21,FIND("(",T21&amp;"(")-1))&lt;=TIME(3,59,59),TIMEVALUE(LEFT(T21,FIND("(",T21&amp;"(")-1))+1,TIMEVALUE(LEFT(T21,FIND("(",T21&amp;"(")-1))))</formula>
    </cfRule>
  </conditionalFormatting>
  <conditionalFormatting sqref="Z19:AD19">
    <cfRule type="expression" priority="140" dxfId="4514">
      <formula>AND(ISNUMBER(TIMEVALUE(LEFT(Z19,FIND("(",Z19&amp;"(")-1))),ISNUMBER(TIMEVALUE(LEFT(Z21,FIND("(",Z21&amp;"(")-1))),IF(TIMEVALUE(LEFT(Z19,FIND("(",Z19&amp;"(")-1))&lt;=TIME(3,59,59),TIMEVALUE(LEFT(Z19,FIND("(",Z19&amp;"(")-1))+1,TIMEVALUE(LEFT(Z19,FIND("(",Z19&amp;"(")-1)))+60/1440&lt;IF(TIMEVALUE(LEFT(Z21,FIND("(",Z21&amp;"(")-1))&lt;=TIME(3,59,59),TIMEVALUE(LEFT(Z21,FIND("(",Z21&amp;"(")-1))+1,TIMEVALUE(LEFT(Z21,FIND("(",Z21&amp;"(")-1))))</formula>
    </cfRule>
  </conditionalFormatting>
  <conditionalFormatting sqref="AF19:AI19">
    <cfRule type="expression" priority="20" dxfId="4514">
      <formula>AND(ISNUMBER(TIMEVALUE(LEFT(AF19,FIND("(",AF19&amp;"(")-1))),ISNUMBER(TIMEVALUE(LEFT(AF21,FIND("(",AF21&amp;"(")-1))),IF(TIMEVALUE(LEFT(AF19,FIND("(",AF19&amp;"(")-1))&lt;=TIME(3,59,59),TIMEVALUE(LEFT(AF19,FIND("(",AF19&amp;"(")-1))+1,TIMEVALUE(LEFT(AF19,FIND("(",AF19&amp;"(")-1)))+60/1440&lt;IF(TIMEVALUE(LEFT(AF21,FIND("(",AF21&amp;"(")-1))&lt;=TIME(3,59,59),TIMEVALUE(LEFT(AF21,FIND("(",AF21&amp;"(")-1))+1,TIMEVALUE(LEFT(AF21,FIND("(",AF21&amp;"(")-1))))</formula>
    </cfRule>
  </conditionalFormatting>
  <conditionalFormatting sqref="N20:R20">
    <cfRule type="expression" priority="237" dxfId="4514">
      <formula>AND(ISNUMBER(TIMEVALUE(LEFT(N20,FIND("(",N20&amp;"(")-1))),ISNUMBER(TIMEVALUE(LEFT(N22,FIND("(",N22&amp;"(")-1))),IF(TIMEVALUE(LEFT(N20,FIND("(",N20&amp;"(")-1))&lt;=TIME(3,59,59),TIMEVALUE(LEFT(N20,FIND("(",N20&amp;"(")-1))+1,TIMEVALUE(LEFT(N20,FIND("(",N20&amp;"(")-1)))-60/1440&gt;IF(TIMEVALUE(LEFT(N22,FIND("(",N22&amp;"(")-1))&lt;=TIME(3,59,59),TIMEVALUE(LEFT(N22,FIND("(",N22&amp;"(")-1))+1,TIMEVALUE(LEFT(N22,FIND("(",N22&amp;"(")-1))))</formula>
    </cfRule>
  </conditionalFormatting>
  <conditionalFormatting sqref="T20:X20">
    <cfRule type="expression" priority="189" dxfId="4514">
      <formula>AND(ISNUMBER(TIMEVALUE(LEFT(T20,FIND("(",T20&amp;"(")-1))),ISNUMBER(TIMEVALUE(LEFT(T22,FIND("(",T22&amp;"(")-1))),IF(TIMEVALUE(LEFT(T20,FIND("(",T20&amp;"(")-1))&lt;=TIME(3,59,59),TIMEVALUE(LEFT(T20,FIND("(",T20&amp;"(")-1))+1,TIMEVALUE(LEFT(T20,FIND("(",T20&amp;"(")-1)))-60/1440&gt;IF(TIMEVALUE(LEFT(T22,FIND("(",T22&amp;"(")-1))&lt;=TIME(3,59,59),TIMEVALUE(LEFT(T22,FIND("(",T22&amp;"(")-1))+1,TIMEVALUE(LEFT(T22,FIND("(",T22&amp;"(")-1))))</formula>
    </cfRule>
  </conditionalFormatting>
  <conditionalFormatting sqref="Z20:AD20">
    <cfRule type="expression" priority="141" dxfId="4514">
      <formula>AND(ISNUMBER(TIMEVALUE(LEFT(Z20,FIND("(",Z20&amp;"(")-1))),ISNUMBER(TIMEVALUE(LEFT(Z22,FIND("(",Z22&amp;"(")-1))),IF(TIMEVALUE(LEFT(Z20,FIND("(",Z20&amp;"(")-1))&lt;=TIME(3,59,59),TIMEVALUE(LEFT(Z20,FIND("(",Z20&amp;"(")-1))+1,TIMEVALUE(LEFT(Z20,FIND("(",Z20&amp;"(")-1)))-60/1440&gt;IF(TIMEVALUE(LEFT(Z22,FIND("(",Z22&amp;"(")-1))&lt;=TIME(3,59,59),TIMEVALUE(LEFT(Z22,FIND("(",Z22&amp;"(")-1))+1,TIMEVALUE(LEFT(Z22,FIND("(",Z22&amp;"(")-1))))</formula>
    </cfRule>
  </conditionalFormatting>
  <conditionalFormatting sqref="AF20:AI20">
    <cfRule type="expression" priority="21" dxfId="4514">
      <formula>AND(ISNUMBER(TIMEVALUE(LEFT(AF20,FIND("(",AF20&amp;"(")-1))),ISNUMBER(TIMEVALUE(LEFT(AF22,FIND("(",AF22&amp;"(")-1))),IF(TIMEVALUE(LEFT(AF20,FIND("(",AF20&amp;"(")-1))&lt;=TIME(3,59,59),TIMEVALUE(LEFT(AF20,FIND("(",AF20&amp;"(")-1))+1,TIMEVALUE(LEFT(AF20,FIND("(",AF20&amp;"(")-1)))-60/1440&gt;IF(TIMEVALUE(LEFT(AF22,FIND("(",AF22&amp;"(")-1))&lt;=TIME(3,59,59),TIMEVALUE(LEFT(AF22,FIND("(",AF22&amp;"(")-1))+1,TIMEVALUE(LEFT(AF22,FIND("(",AF22&amp;"(")-1))))</formula>
    </cfRule>
  </conditionalFormatting>
  <conditionalFormatting sqref="N25:R25">
    <cfRule type="expression" priority="230" dxfId="4514">
      <formula>AND(ISNUMBER(TIMEVALUE(LEFT(N25,FIND("(",N25&amp;"(")-1))),ISNUMBER(TIMEVALUE(LEFT(N27,FIND("(",N27&amp;"(")-1))),IF(TIMEVALUE(LEFT(N25,FIND("(",N25&amp;"(")-1))&lt;=TIME(3,59,59),TIMEVALUE(LEFT(N25,FIND("(",N25&amp;"(")-1))+1,TIMEVALUE(LEFT(N25,FIND("(",N25&amp;"(")-1)))+60/1440&lt;IF(TIMEVALUE(LEFT(N27,FIND("(",N27&amp;"(")-1))&lt;=TIME(3,59,59),TIMEVALUE(LEFT(N27,FIND("(",N27&amp;"(")-1))+1,TIMEVALUE(LEFT(N27,FIND("(",N27&amp;"(")-1))))</formula>
    </cfRule>
  </conditionalFormatting>
  <conditionalFormatting sqref="T25:X25">
    <cfRule type="expression" priority="182" dxfId="4514">
      <formula>AND(ISNUMBER(TIMEVALUE(LEFT(T25,FIND("(",T25&amp;"(")-1))),ISNUMBER(TIMEVALUE(LEFT(T27,FIND("(",T27&amp;"(")-1))),IF(TIMEVALUE(LEFT(T25,FIND("(",T25&amp;"(")-1))&lt;=TIME(3,59,59),TIMEVALUE(LEFT(T25,FIND("(",T25&amp;"(")-1))+1,TIMEVALUE(LEFT(T25,FIND("(",T25&amp;"(")-1)))+60/1440&lt;IF(TIMEVALUE(LEFT(T27,FIND("(",T27&amp;"(")-1))&lt;=TIME(3,59,59),TIMEVALUE(LEFT(T27,FIND("(",T27&amp;"(")-1))+1,TIMEVALUE(LEFT(T27,FIND("(",T27&amp;"(")-1))))</formula>
    </cfRule>
  </conditionalFormatting>
  <conditionalFormatting sqref="Z25:AD25">
    <cfRule type="expression" priority="134" dxfId="4514">
      <formula>AND(ISNUMBER(TIMEVALUE(LEFT(Z25,FIND("(",Z25&amp;"(")-1))),ISNUMBER(TIMEVALUE(LEFT(Z27,FIND("(",Z27&amp;"(")-1))),IF(TIMEVALUE(LEFT(Z25,FIND("(",Z25&amp;"(")-1))&lt;=TIME(3,59,59),TIMEVALUE(LEFT(Z25,FIND("(",Z25&amp;"(")-1))+1,TIMEVALUE(LEFT(Z25,FIND("(",Z25&amp;"(")-1)))+60/1440&lt;IF(TIMEVALUE(LEFT(Z27,FIND("(",Z27&amp;"(")-1))&lt;=TIME(3,59,59),TIMEVALUE(LEFT(Z27,FIND("(",Z27&amp;"(")-1))+1,TIMEVALUE(LEFT(Z27,FIND("(",Z27&amp;"(")-1))))</formula>
    </cfRule>
  </conditionalFormatting>
  <conditionalFormatting sqref="AF25:AI25">
    <cfRule type="expression" priority="17" dxfId="4514">
      <formula>AND(ISNUMBER(TIMEVALUE(LEFT(AF25,FIND("(",AF25&amp;"(")-1))),ISNUMBER(TIMEVALUE(LEFT(AF27,FIND("(",AF27&amp;"(")-1))),IF(TIMEVALUE(LEFT(AF25,FIND("(",AF25&amp;"(")-1))&lt;=TIME(3,59,59),TIMEVALUE(LEFT(AF25,FIND("(",AF25&amp;"(")-1))+1,TIMEVALUE(LEFT(AF25,FIND("(",AF25&amp;"(")-1)))+60/1440&lt;IF(TIMEVALUE(LEFT(AF27,FIND("(",AF27&amp;"(")-1))&lt;=TIME(3,59,59),TIMEVALUE(LEFT(AF27,FIND("(",AF27&amp;"(")-1))+1,TIMEVALUE(LEFT(AF27,FIND("(",AF27&amp;"(")-1))))</formula>
    </cfRule>
  </conditionalFormatting>
  <conditionalFormatting sqref="N26:R26">
    <cfRule type="expression" priority="231" dxfId="4514">
      <formula>AND(ISNUMBER(TIMEVALUE(LEFT(N26,FIND("(",N26&amp;"(")-1))),ISNUMBER(TIMEVALUE(LEFT(N28,FIND("(",N28&amp;"(")-1))),IF(TIMEVALUE(LEFT(N26,FIND("(",N26&amp;"(")-1))&lt;=TIME(3,59,59),TIMEVALUE(LEFT(N26,FIND("(",N26&amp;"(")-1))+1,TIMEVALUE(LEFT(N26,FIND("(",N26&amp;"(")-1)))-60/1440&gt;IF(TIMEVALUE(LEFT(N28,FIND("(",N28&amp;"(")-1))&lt;=TIME(3,59,59),TIMEVALUE(LEFT(N28,FIND("(",N28&amp;"(")-1))+1,TIMEVALUE(LEFT(N28,FIND("(",N28&amp;"(")-1))))</formula>
    </cfRule>
  </conditionalFormatting>
  <conditionalFormatting sqref="T26:X26">
    <cfRule type="expression" priority="183" dxfId="4514">
      <formula>AND(ISNUMBER(TIMEVALUE(LEFT(T26,FIND("(",T26&amp;"(")-1))),ISNUMBER(TIMEVALUE(LEFT(T28,FIND("(",T28&amp;"(")-1))),IF(TIMEVALUE(LEFT(T26,FIND("(",T26&amp;"(")-1))&lt;=TIME(3,59,59),TIMEVALUE(LEFT(T26,FIND("(",T26&amp;"(")-1))+1,TIMEVALUE(LEFT(T26,FIND("(",T26&amp;"(")-1)))-60/1440&gt;IF(TIMEVALUE(LEFT(T28,FIND("(",T28&amp;"(")-1))&lt;=TIME(3,59,59),TIMEVALUE(LEFT(T28,FIND("(",T28&amp;"(")-1))+1,TIMEVALUE(LEFT(T28,FIND("(",T28&amp;"(")-1))))</formula>
    </cfRule>
  </conditionalFormatting>
  <conditionalFormatting sqref="Z26:AD26">
    <cfRule type="expression" priority="135" dxfId="4514">
      <formula>AND(ISNUMBER(TIMEVALUE(LEFT(Z26,FIND("(",Z26&amp;"(")-1))),ISNUMBER(TIMEVALUE(LEFT(Z28,FIND("(",Z28&amp;"(")-1))),IF(TIMEVALUE(LEFT(Z26,FIND("(",Z26&amp;"(")-1))&lt;=TIME(3,59,59),TIMEVALUE(LEFT(Z26,FIND("(",Z26&amp;"(")-1))+1,TIMEVALUE(LEFT(Z26,FIND("(",Z26&amp;"(")-1)))-60/1440&gt;IF(TIMEVALUE(LEFT(Z28,FIND("(",Z28&amp;"(")-1))&lt;=TIME(3,59,59),TIMEVALUE(LEFT(Z28,FIND("(",Z28&amp;"(")-1))+1,TIMEVALUE(LEFT(Z28,FIND("(",Z28&amp;"(")-1))))</formula>
    </cfRule>
  </conditionalFormatting>
  <conditionalFormatting sqref="AF26:AI26">
    <cfRule type="expression" priority="18" dxfId="4514">
      <formula>AND(ISNUMBER(TIMEVALUE(LEFT(AF26,FIND("(",AF26&amp;"(")-1))),ISNUMBER(TIMEVALUE(LEFT(AF28,FIND("(",AF28&amp;"(")-1))),IF(TIMEVALUE(LEFT(AF26,FIND("(",AF26&amp;"(")-1))&lt;=TIME(3,59,59),TIMEVALUE(LEFT(AF26,FIND("(",AF26&amp;"(")-1))+1,TIMEVALUE(LEFT(AF26,FIND("(",AF26&amp;"(")-1)))-60/1440&gt;IF(TIMEVALUE(LEFT(AF28,FIND("(",AF28&amp;"(")-1))&lt;=TIME(3,59,59),TIMEVALUE(LEFT(AF28,FIND("(",AF28&amp;"(")-1))+1,TIMEVALUE(LEFT(AF28,FIND("(",AF28&amp;"(")-1))))</formula>
    </cfRule>
  </conditionalFormatting>
  <conditionalFormatting sqref="N31:R31">
    <cfRule type="expression" priority="224" dxfId="4514">
      <formula>AND(ISNUMBER(TIMEVALUE(LEFT(N31,FIND("(",N31&amp;"(")-1))),ISNUMBER(TIMEVALUE(LEFT(N33,FIND("(",N33&amp;"(")-1))),IF(TIMEVALUE(LEFT(N31,FIND("(",N31&amp;"(")-1))&lt;=TIME(3,59,59),TIMEVALUE(LEFT(N31,FIND("(",N31&amp;"(")-1))+1,TIMEVALUE(LEFT(N31,FIND("(",N31&amp;"(")-1)))+60/1440&lt;IF(TIMEVALUE(LEFT(N33,FIND("(",N33&amp;"(")-1))&lt;=TIME(3,59,59),TIMEVALUE(LEFT(N33,FIND("(",N33&amp;"(")-1))+1,TIMEVALUE(LEFT(N33,FIND("(",N33&amp;"(")-1))))</formula>
    </cfRule>
  </conditionalFormatting>
  <conditionalFormatting sqref="T31:X31">
    <cfRule type="expression" priority="176" dxfId="4514">
      <formula>AND(ISNUMBER(TIMEVALUE(LEFT(T31,FIND("(",T31&amp;"(")-1))),ISNUMBER(TIMEVALUE(LEFT(T33,FIND("(",T33&amp;"(")-1))),IF(TIMEVALUE(LEFT(T31,FIND("(",T31&amp;"(")-1))&lt;=TIME(3,59,59),TIMEVALUE(LEFT(T31,FIND("(",T31&amp;"(")-1))+1,TIMEVALUE(LEFT(T31,FIND("(",T31&amp;"(")-1)))+60/1440&lt;IF(TIMEVALUE(LEFT(T33,FIND("(",T33&amp;"(")-1))&lt;=TIME(3,59,59),TIMEVALUE(LEFT(T33,FIND("(",T33&amp;"(")-1))+1,TIMEVALUE(LEFT(T33,FIND("(",T33&amp;"(")-1))))</formula>
    </cfRule>
  </conditionalFormatting>
  <conditionalFormatting sqref="Z31:AD31">
    <cfRule type="expression" priority="128" dxfId="4514">
      <formula>AND(ISNUMBER(TIMEVALUE(LEFT(Z31,FIND("(",Z31&amp;"(")-1))),ISNUMBER(TIMEVALUE(LEFT(Z33,FIND("(",Z33&amp;"(")-1))),IF(TIMEVALUE(LEFT(Z31,FIND("(",Z31&amp;"(")-1))&lt;=TIME(3,59,59),TIMEVALUE(LEFT(Z31,FIND("(",Z31&amp;"(")-1))+1,TIMEVALUE(LEFT(Z31,FIND("(",Z31&amp;"(")-1)))+60/1440&lt;IF(TIMEVALUE(LEFT(Z33,FIND("(",Z33&amp;"(")-1))&lt;=TIME(3,59,59),TIMEVALUE(LEFT(Z33,FIND("(",Z33&amp;"(")-1))+1,TIMEVALUE(LEFT(Z33,FIND("(",Z33&amp;"(")-1))))</formula>
    </cfRule>
  </conditionalFormatting>
  <conditionalFormatting sqref="AF31:AI31">
    <cfRule type="expression" priority="14" dxfId="4514">
      <formula>AND(ISNUMBER(TIMEVALUE(LEFT(AF31,FIND("(",AF31&amp;"(")-1))),ISNUMBER(TIMEVALUE(LEFT(AF33,FIND("(",AF33&amp;"(")-1))),IF(TIMEVALUE(LEFT(AF31,FIND("(",AF31&amp;"(")-1))&lt;=TIME(3,59,59),TIMEVALUE(LEFT(AF31,FIND("(",AF31&amp;"(")-1))+1,TIMEVALUE(LEFT(AF31,FIND("(",AF31&amp;"(")-1)))+60/1440&lt;IF(TIMEVALUE(LEFT(AF33,FIND("(",AF33&amp;"(")-1))&lt;=TIME(3,59,59),TIMEVALUE(LEFT(AF33,FIND("(",AF33&amp;"(")-1))+1,TIMEVALUE(LEFT(AF33,FIND("(",AF33&amp;"(")-1))))</formula>
    </cfRule>
  </conditionalFormatting>
  <conditionalFormatting sqref="N32:R32">
    <cfRule type="expression" priority="225" dxfId="4514">
      <formula>AND(ISNUMBER(TIMEVALUE(LEFT(N32,FIND("(",N32&amp;"(")-1))),ISNUMBER(TIMEVALUE(LEFT(N34,FIND("(",N34&amp;"(")-1))),IF(TIMEVALUE(LEFT(N32,FIND("(",N32&amp;"(")-1))&lt;=TIME(3,59,59),TIMEVALUE(LEFT(N32,FIND("(",N32&amp;"(")-1))+1,TIMEVALUE(LEFT(N32,FIND("(",N32&amp;"(")-1)))-60/1440&gt;IF(TIMEVALUE(LEFT(N34,FIND("(",N34&amp;"(")-1))&lt;=TIME(3,59,59),TIMEVALUE(LEFT(N34,FIND("(",N34&amp;"(")-1))+1,TIMEVALUE(LEFT(N34,FIND("(",N34&amp;"(")-1))))</formula>
    </cfRule>
  </conditionalFormatting>
  <conditionalFormatting sqref="T32:X32">
    <cfRule type="expression" priority="177" dxfId="4514">
      <formula>AND(ISNUMBER(TIMEVALUE(LEFT(T32,FIND("(",T32&amp;"(")-1))),ISNUMBER(TIMEVALUE(LEFT(T34,FIND("(",T34&amp;"(")-1))),IF(TIMEVALUE(LEFT(T32,FIND("(",T32&amp;"(")-1))&lt;=TIME(3,59,59),TIMEVALUE(LEFT(T32,FIND("(",T32&amp;"(")-1))+1,TIMEVALUE(LEFT(T32,FIND("(",T32&amp;"(")-1)))-60/1440&gt;IF(TIMEVALUE(LEFT(T34,FIND("(",T34&amp;"(")-1))&lt;=TIME(3,59,59),TIMEVALUE(LEFT(T34,FIND("(",T34&amp;"(")-1))+1,TIMEVALUE(LEFT(T34,FIND("(",T34&amp;"(")-1))))</formula>
    </cfRule>
  </conditionalFormatting>
  <conditionalFormatting sqref="Z32:AD32">
    <cfRule type="expression" priority="129" dxfId="4514">
      <formula>AND(ISNUMBER(TIMEVALUE(LEFT(Z32,FIND("(",Z32&amp;"(")-1))),ISNUMBER(TIMEVALUE(LEFT(Z34,FIND("(",Z34&amp;"(")-1))),IF(TIMEVALUE(LEFT(Z32,FIND("(",Z32&amp;"(")-1))&lt;=TIME(3,59,59),TIMEVALUE(LEFT(Z32,FIND("(",Z32&amp;"(")-1))+1,TIMEVALUE(LEFT(Z32,FIND("(",Z32&amp;"(")-1)))-60/1440&gt;IF(TIMEVALUE(LEFT(Z34,FIND("(",Z34&amp;"(")-1))&lt;=TIME(3,59,59),TIMEVALUE(LEFT(Z34,FIND("(",Z34&amp;"(")-1))+1,TIMEVALUE(LEFT(Z34,FIND("(",Z34&amp;"(")-1))))</formula>
    </cfRule>
  </conditionalFormatting>
  <conditionalFormatting sqref="AF32:AI32">
    <cfRule type="expression" priority="15" dxfId="4514">
      <formula>AND(ISNUMBER(TIMEVALUE(LEFT(AF32,FIND("(",AF32&amp;"(")-1))),ISNUMBER(TIMEVALUE(LEFT(AF34,FIND("(",AF34&amp;"(")-1))),IF(TIMEVALUE(LEFT(AF32,FIND("(",AF32&amp;"(")-1))&lt;=TIME(3,59,59),TIMEVALUE(LEFT(AF32,FIND("(",AF32&amp;"(")-1))+1,TIMEVALUE(LEFT(AF32,FIND("(",AF32&amp;"(")-1)))-60/1440&gt;IF(TIMEVALUE(LEFT(AF34,FIND("(",AF34&amp;"(")-1))&lt;=TIME(3,59,59),TIMEVALUE(LEFT(AF34,FIND("(",AF34&amp;"(")-1))+1,TIMEVALUE(LEFT(AF34,FIND("(",AF34&amp;"(")-1))))</formula>
    </cfRule>
  </conditionalFormatting>
  <conditionalFormatting sqref="N37:R37">
    <cfRule type="expression" priority="218" dxfId="4514">
      <formula>AND(ISNUMBER(TIMEVALUE(LEFT(N37,FIND("(",N37&amp;"(")-1))),ISNUMBER(TIMEVALUE(LEFT(N39,FIND("(",N39&amp;"(")-1))),IF(TIMEVALUE(LEFT(N37,FIND("(",N37&amp;"(")-1))&lt;=TIME(3,59,59),TIMEVALUE(LEFT(N37,FIND("(",N37&amp;"(")-1))+1,TIMEVALUE(LEFT(N37,FIND("(",N37&amp;"(")-1)))+60/1440&lt;IF(TIMEVALUE(LEFT(N39,FIND("(",N39&amp;"(")-1))&lt;=TIME(3,59,59),TIMEVALUE(LEFT(N39,FIND("(",N39&amp;"(")-1))+1,TIMEVALUE(LEFT(N39,FIND("(",N39&amp;"(")-1))))</formula>
    </cfRule>
  </conditionalFormatting>
  <conditionalFormatting sqref="T37:X37">
    <cfRule type="expression" priority="170" dxfId="4514">
      <formula>AND(ISNUMBER(TIMEVALUE(LEFT(T37,FIND("(",T37&amp;"(")-1))),ISNUMBER(TIMEVALUE(LEFT(T39,FIND("(",T39&amp;"(")-1))),IF(TIMEVALUE(LEFT(T37,FIND("(",T37&amp;"(")-1))&lt;=TIME(3,59,59),TIMEVALUE(LEFT(T37,FIND("(",T37&amp;"(")-1))+1,TIMEVALUE(LEFT(T37,FIND("(",T37&amp;"(")-1)))+60/1440&lt;IF(TIMEVALUE(LEFT(T39,FIND("(",T39&amp;"(")-1))&lt;=TIME(3,59,59),TIMEVALUE(LEFT(T39,FIND("(",T39&amp;"(")-1))+1,TIMEVALUE(LEFT(T39,FIND("(",T39&amp;"(")-1))))</formula>
    </cfRule>
  </conditionalFormatting>
  <conditionalFormatting sqref="Z37:AD37">
    <cfRule type="expression" priority="122" dxfId="4514">
      <formula>AND(ISNUMBER(TIMEVALUE(LEFT(Z37,FIND("(",Z37&amp;"(")-1))),ISNUMBER(TIMEVALUE(LEFT(Z39,FIND("(",Z39&amp;"(")-1))),IF(TIMEVALUE(LEFT(Z37,FIND("(",Z37&amp;"(")-1))&lt;=TIME(3,59,59),TIMEVALUE(LEFT(Z37,FIND("(",Z37&amp;"(")-1))+1,TIMEVALUE(LEFT(Z37,FIND("(",Z37&amp;"(")-1)))+60/1440&lt;IF(TIMEVALUE(LEFT(Z39,FIND("(",Z39&amp;"(")-1))&lt;=TIME(3,59,59),TIMEVALUE(LEFT(Z39,FIND("(",Z39&amp;"(")-1))+1,TIMEVALUE(LEFT(Z39,FIND("(",Z39&amp;"(")-1))))</formula>
    </cfRule>
  </conditionalFormatting>
  <conditionalFormatting sqref="AF37:AI37">
    <cfRule type="expression" priority="11" dxfId="4514">
      <formula>AND(ISNUMBER(TIMEVALUE(LEFT(AF37,FIND("(",AF37&amp;"(")-1))),ISNUMBER(TIMEVALUE(LEFT(AF39,FIND("(",AF39&amp;"(")-1))),IF(TIMEVALUE(LEFT(AF37,FIND("(",AF37&amp;"(")-1))&lt;=TIME(3,59,59),TIMEVALUE(LEFT(AF37,FIND("(",AF37&amp;"(")-1))+1,TIMEVALUE(LEFT(AF37,FIND("(",AF37&amp;"(")-1)))+60/1440&lt;IF(TIMEVALUE(LEFT(AF39,FIND("(",AF39&amp;"(")-1))&lt;=TIME(3,59,59),TIMEVALUE(LEFT(AF39,FIND("(",AF39&amp;"(")-1))+1,TIMEVALUE(LEFT(AF39,FIND("(",AF39&amp;"(")-1))))</formula>
    </cfRule>
  </conditionalFormatting>
  <conditionalFormatting sqref="N38:R38">
    <cfRule type="expression" priority="219" dxfId="4514">
      <formula>AND(ISNUMBER(TIMEVALUE(LEFT(N38,FIND("(",N38&amp;"(")-1))),ISNUMBER(TIMEVALUE(LEFT(N40,FIND("(",N40&amp;"(")-1))),IF(TIMEVALUE(LEFT(N38,FIND("(",N38&amp;"(")-1))&lt;=TIME(3,59,59),TIMEVALUE(LEFT(N38,FIND("(",N38&amp;"(")-1))+1,TIMEVALUE(LEFT(N38,FIND("(",N38&amp;"(")-1)))-60/1440&gt;IF(TIMEVALUE(LEFT(N40,FIND("(",N40&amp;"(")-1))&lt;=TIME(3,59,59),TIMEVALUE(LEFT(N40,FIND("(",N40&amp;"(")-1))+1,TIMEVALUE(LEFT(N40,FIND("(",N40&amp;"(")-1))))</formula>
    </cfRule>
  </conditionalFormatting>
  <conditionalFormatting sqref="T38:X38">
    <cfRule type="expression" priority="171" dxfId="4514">
      <formula>AND(ISNUMBER(TIMEVALUE(LEFT(T38,FIND("(",T38&amp;"(")-1))),ISNUMBER(TIMEVALUE(LEFT(T40,FIND("(",T40&amp;"(")-1))),IF(TIMEVALUE(LEFT(T38,FIND("(",T38&amp;"(")-1))&lt;=TIME(3,59,59),TIMEVALUE(LEFT(T38,FIND("(",T38&amp;"(")-1))+1,TIMEVALUE(LEFT(T38,FIND("(",T38&amp;"(")-1)))-60/1440&gt;IF(TIMEVALUE(LEFT(T40,FIND("(",T40&amp;"(")-1))&lt;=TIME(3,59,59),TIMEVALUE(LEFT(T40,FIND("(",T40&amp;"(")-1))+1,TIMEVALUE(LEFT(T40,FIND("(",T40&amp;"(")-1))))</formula>
    </cfRule>
  </conditionalFormatting>
  <conditionalFormatting sqref="Z38:AD38">
    <cfRule type="expression" priority="123" dxfId="4514">
      <formula>AND(ISNUMBER(TIMEVALUE(LEFT(Z38,FIND("(",Z38&amp;"(")-1))),ISNUMBER(TIMEVALUE(LEFT(Z40,FIND("(",Z40&amp;"(")-1))),IF(TIMEVALUE(LEFT(Z38,FIND("(",Z38&amp;"(")-1))&lt;=TIME(3,59,59),TIMEVALUE(LEFT(Z38,FIND("(",Z38&amp;"(")-1))+1,TIMEVALUE(LEFT(Z38,FIND("(",Z38&amp;"(")-1)))-60/1440&gt;IF(TIMEVALUE(LEFT(Z40,FIND("(",Z40&amp;"(")-1))&lt;=TIME(3,59,59),TIMEVALUE(LEFT(Z40,FIND("(",Z40&amp;"(")-1))+1,TIMEVALUE(LEFT(Z40,FIND("(",Z40&amp;"(")-1))))</formula>
    </cfRule>
  </conditionalFormatting>
  <conditionalFormatting sqref="AF38:AI38">
    <cfRule type="expression" priority="12" dxfId="4514">
      <formula>AND(ISNUMBER(TIMEVALUE(LEFT(AF38,FIND("(",AF38&amp;"(")-1))),ISNUMBER(TIMEVALUE(LEFT(AF40,FIND("(",AF40&amp;"(")-1))),IF(TIMEVALUE(LEFT(AF38,FIND("(",AF38&amp;"(")-1))&lt;=TIME(3,59,59),TIMEVALUE(LEFT(AF38,FIND("(",AF38&amp;"(")-1))+1,TIMEVALUE(LEFT(AF38,FIND("(",AF38&amp;"(")-1)))-60/1440&gt;IF(TIMEVALUE(LEFT(AF40,FIND("(",AF40&amp;"(")-1))&lt;=TIME(3,59,59),TIMEVALUE(LEFT(AF40,FIND("(",AF40&amp;"(")-1))+1,TIMEVALUE(LEFT(AF40,FIND("(",AF40&amp;"(")-1))))</formula>
    </cfRule>
  </conditionalFormatting>
  <conditionalFormatting sqref="N43:R43">
    <cfRule type="expression" priority="206" dxfId="4514">
      <formula>AND(ISNUMBER(TIMEVALUE(LEFT(N43,FIND("(",N43&amp;"(")-1))),ISNUMBER(TIMEVALUE(LEFT(N45,FIND("(",N45&amp;"(")-1))),IF(TIMEVALUE(LEFT(N43,FIND("(",N43&amp;"(")-1))&lt;=TIME(3,59,59),TIMEVALUE(LEFT(N43,FIND("(",N43&amp;"(")-1))+1,TIMEVALUE(LEFT(N43,FIND("(",N43&amp;"(")-1)))+60/1440&lt;IF(TIMEVALUE(LEFT(N45,FIND("(",N45&amp;"(")-1))&lt;=TIME(3,59,59),TIMEVALUE(LEFT(N45,FIND("(",N45&amp;"(")-1))+1,TIMEVALUE(LEFT(N45,FIND("(",N45&amp;"(")-1))))</formula>
    </cfRule>
  </conditionalFormatting>
  <conditionalFormatting sqref="T43:X43">
    <cfRule type="expression" priority="158" dxfId="4514">
      <formula>AND(ISNUMBER(TIMEVALUE(LEFT(T43,FIND("(",T43&amp;"(")-1))),ISNUMBER(TIMEVALUE(LEFT(T45,FIND("(",T45&amp;"(")-1))),IF(TIMEVALUE(LEFT(T43,FIND("(",T43&amp;"(")-1))&lt;=TIME(3,59,59),TIMEVALUE(LEFT(T43,FIND("(",T43&amp;"(")-1))+1,TIMEVALUE(LEFT(T43,FIND("(",T43&amp;"(")-1)))+60/1440&lt;IF(TIMEVALUE(LEFT(T45,FIND("(",T45&amp;"(")-1))&lt;=TIME(3,59,59),TIMEVALUE(LEFT(T45,FIND("(",T45&amp;"(")-1))+1,TIMEVALUE(LEFT(T45,FIND("(",T45&amp;"(")-1))))</formula>
    </cfRule>
  </conditionalFormatting>
  <conditionalFormatting sqref="Z43:AD43">
    <cfRule type="expression" priority="110" dxfId="4514">
      <formula>AND(ISNUMBER(TIMEVALUE(LEFT(Z43,FIND("(",Z43&amp;"(")-1))),ISNUMBER(TIMEVALUE(LEFT(Z45,FIND("(",Z45&amp;"(")-1))),IF(TIMEVALUE(LEFT(Z43,FIND("(",Z43&amp;"(")-1))&lt;=TIME(3,59,59),TIMEVALUE(LEFT(Z43,FIND("(",Z43&amp;"(")-1))+1,TIMEVALUE(LEFT(Z43,FIND("(",Z43&amp;"(")-1)))+60/1440&lt;IF(TIMEVALUE(LEFT(Z45,FIND("(",Z45&amp;"(")-1))&lt;=TIME(3,59,59),TIMEVALUE(LEFT(Z45,FIND("(",Z45&amp;"(")-1))+1,TIMEVALUE(LEFT(Z45,FIND("(",Z45&amp;"(")-1))))</formula>
    </cfRule>
  </conditionalFormatting>
  <conditionalFormatting sqref="AF43:AI43">
    <cfRule type="expression" priority="5" dxfId="4514">
      <formula>AND(ISNUMBER(TIMEVALUE(LEFT(AF43,FIND("(",AF43&amp;"(")-1))),ISNUMBER(TIMEVALUE(LEFT(AF45,FIND("(",AF45&amp;"(")-1))),IF(TIMEVALUE(LEFT(AF43,FIND("(",AF43&amp;"(")-1))&lt;=TIME(3,59,59),TIMEVALUE(LEFT(AF43,FIND("(",AF43&amp;"(")-1))+1,TIMEVALUE(LEFT(AF43,FIND("(",AF43&amp;"(")-1)))+60/1440&lt;IF(TIMEVALUE(LEFT(AF45,FIND("(",AF45&amp;"(")-1))&lt;=TIME(3,59,59),TIMEVALUE(LEFT(AF45,FIND("(",AF45&amp;"(")-1))+1,TIMEVALUE(LEFT(AF45,FIND("(",AF45&amp;"(")-1))))</formula>
    </cfRule>
  </conditionalFormatting>
  <conditionalFormatting sqref="N44:R44">
    <cfRule type="expression" priority="207" dxfId="4514">
      <formula>AND(ISNUMBER(TIMEVALUE(LEFT(N44,FIND("(",N44&amp;"(")-1))),ISNUMBER(TIMEVALUE(LEFT(N46,FIND("(",N46&amp;"(")-1))),IF(TIMEVALUE(LEFT(N44,FIND("(",N44&amp;"(")-1))&lt;=TIME(3,59,59),TIMEVALUE(LEFT(N44,FIND("(",N44&amp;"(")-1))+1,TIMEVALUE(LEFT(N44,FIND("(",N44&amp;"(")-1)))-60/1440&gt;IF(TIMEVALUE(LEFT(N46,FIND("(",N46&amp;"(")-1))&lt;=TIME(3,59,59),TIMEVALUE(LEFT(N46,FIND("(",N46&amp;"(")-1))+1,TIMEVALUE(LEFT(N46,FIND("(",N46&amp;"(")-1))))</formula>
    </cfRule>
  </conditionalFormatting>
  <conditionalFormatting sqref="T44:X44">
    <cfRule type="expression" priority="159" dxfId="4514">
      <formula>AND(ISNUMBER(TIMEVALUE(LEFT(T44,FIND("(",T44&amp;"(")-1))),ISNUMBER(TIMEVALUE(LEFT(T46,FIND("(",T46&amp;"(")-1))),IF(TIMEVALUE(LEFT(T44,FIND("(",T44&amp;"(")-1))&lt;=TIME(3,59,59),TIMEVALUE(LEFT(T44,FIND("(",T44&amp;"(")-1))+1,TIMEVALUE(LEFT(T44,FIND("(",T44&amp;"(")-1)))-60/1440&gt;IF(TIMEVALUE(LEFT(T46,FIND("(",T46&amp;"(")-1))&lt;=TIME(3,59,59),TIMEVALUE(LEFT(T46,FIND("(",T46&amp;"(")-1))+1,TIMEVALUE(LEFT(T46,FIND("(",T46&amp;"(")-1))))</formula>
    </cfRule>
  </conditionalFormatting>
  <conditionalFormatting sqref="Z44:AD44">
    <cfRule type="expression" priority="111" dxfId="4514">
      <formula>AND(ISNUMBER(TIMEVALUE(LEFT(Z44,FIND("(",Z44&amp;"(")-1))),ISNUMBER(TIMEVALUE(LEFT(Z46,FIND("(",Z46&amp;"(")-1))),IF(TIMEVALUE(LEFT(Z44,FIND("(",Z44&amp;"(")-1))&lt;=TIME(3,59,59),TIMEVALUE(LEFT(Z44,FIND("(",Z44&amp;"(")-1))+1,TIMEVALUE(LEFT(Z44,FIND("(",Z44&amp;"(")-1)))-60/1440&gt;IF(TIMEVALUE(LEFT(Z46,FIND("(",Z46&amp;"(")-1))&lt;=TIME(3,59,59),TIMEVALUE(LEFT(Z46,FIND("(",Z46&amp;"(")-1))+1,TIMEVALUE(LEFT(Z46,FIND("(",Z46&amp;"(")-1))))</formula>
    </cfRule>
  </conditionalFormatting>
  <conditionalFormatting sqref="AF44:AI44">
    <cfRule type="expression" priority="6" dxfId="4514">
      <formula>AND(ISNUMBER(TIMEVALUE(LEFT(AF44,FIND("(",AF44&amp;"(")-1))),ISNUMBER(TIMEVALUE(LEFT(AF46,FIND("(",AF46&amp;"(")-1))),IF(TIMEVALUE(LEFT(AF44,FIND("(",AF44&amp;"(")-1))&lt;=TIME(3,59,59),TIMEVALUE(LEFT(AF44,FIND("(",AF44&amp;"(")-1))+1,TIMEVALUE(LEFT(AF44,FIND("(",AF44&amp;"(")-1)))-60/1440&gt;IF(TIMEVALUE(LEFT(AF46,FIND("(",AF46&amp;"(")-1))&lt;=TIME(3,59,59),TIMEVALUE(LEFT(AF46,FIND("(",AF46&amp;"(")-1))+1,TIMEVALUE(LEFT(AF46,FIND("(",AF46&amp;"(")-1))))</formula>
    </cfRule>
  </conditionalFormatting>
  <conditionalFormatting sqref="N49:R49">
    <cfRule type="expression" priority="200" dxfId="4514">
      <formula>AND(ISNUMBER(TIMEVALUE(LEFT(N49,FIND("(",N49&amp;"(")-1))),ISNUMBER(TIMEVALUE(LEFT(N51,FIND("(",N51&amp;"(")-1))),IF(TIMEVALUE(LEFT(N49,FIND("(",N49&amp;"(")-1))&lt;=TIME(3,59,59),TIMEVALUE(LEFT(N49,FIND("(",N49&amp;"(")-1))+1,TIMEVALUE(LEFT(N49,FIND("(",N49&amp;"(")-1)))+60/1440&lt;IF(TIMEVALUE(LEFT(N51,FIND("(",N51&amp;"(")-1))&lt;=TIME(3,59,59),TIMEVALUE(LEFT(N51,FIND("(",N51&amp;"(")-1))+1,TIMEVALUE(LEFT(N51,FIND("(",N51&amp;"(")-1))))</formula>
    </cfRule>
  </conditionalFormatting>
  <conditionalFormatting sqref="T49:X49">
    <cfRule type="expression" priority="152" dxfId="4514">
      <formula>AND(ISNUMBER(TIMEVALUE(LEFT(T49,FIND("(",T49&amp;"(")-1))),ISNUMBER(TIMEVALUE(LEFT(T51,FIND("(",T51&amp;"(")-1))),IF(TIMEVALUE(LEFT(T49,FIND("(",T49&amp;"(")-1))&lt;=TIME(3,59,59),TIMEVALUE(LEFT(T49,FIND("(",T49&amp;"(")-1))+1,TIMEVALUE(LEFT(T49,FIND("(",T49&amp;"(")-1)))+60/1440&lt;IF(TIMEVALUE(LEFT(T51,FIND("(",T51&amp;"(")-1))&lt;=TIME(3,59,59),TIMEVALUE(LEFT(T51,FIND("(",T51&amp;"(")-1))+1,TIMEVALUE(LEFT(T51,FIND("(",T51&amp;"(")-1))))</formula>
    </cfRule>
  </conditionalFormatting>
  <conditionalFormatting sqref="Z49:AD49">
    <cfRule type="expression" priority="104" dxfId="4514">
      <formula>AND(ISNUMBER(TIMEVALUE(LEFT(Z49,FIND("(",Z49&amp;"(")-1))),ISNUMBER(TIMEVALUE(LEFT(Z51,FIND("(",Z51&amp;"(")-1))),IF(TIMEVALUE(LEFT(Z49,FIND("(",Z49&amp;"(")-1))&lt;=TIME(3,59,59),TIMEVALUE(LEFT(Z49,FIND("(",Z49&amp;"(")-1))+1,TIMEVALUE(LEFT(Z49,FIND("(",Z49&amp;"(")-1)))+60/1440&lt;IF(TIMEVALUE(LEFT(Z51,FIND("(",Z51&amp;"(")-1))&lt;=TIME(3,59,59),TIMEVALUE(LEFT(Z51,FIND("(",Z51&amp;"(")-1))+1,TIMEVALUE(LEFT(Z51,FIND("(",Z51&amp;"(")-1))))</formula>
    </cfRule>
  </conditionalFormatting>
  <conditionalFormatting sqref="AF49:AI49">
    <cfRule type="expression" priority="2" dxfId="4514">
      <formula>AND(ISNUMBER(TIMEVALUE(LEFT(AF49,FIND("(",AF49&amp;"(")-1))),ISNUMBER(TIMEVALUE(LEFT(AF51,FIND("(",AF51&amp;"(")-1))),IF(TIMEVALUE(LEFT(AF49,FIND("(",AF49&amp;"(")-1))&lt;=TIME(3,59,59),TIMEVALUE(LEFT(AF49,FIND("(",AF49&amp;"(")-1))+1,TIMEVALUE(LEFT(AF49,FIND("(",AF49&amp;"(")-1)))+60/1440&lt;IF(TIMEVALUE(LEFT(AF51,FIND("(",AF51&amp;"(")-1))&lt;=TIME(3,59,59),TIMEVALUE(LEFT(AF51,FIND("(",AF51&amp;"(")-1))+1,TIMEVALUE(LEFT(AF51,FIND("(",AF51&amp;"(")-1))))</formula>
    </cfRule>
  </conditionalFormatting>
  <conditionalFormatting sqref="N50:R50">
    <cfRule type="expression" priority="201" dxfId="4514">
      <formula>AND(ISNUMBER(TIMEVALUE(LEFT(N50,FIND("(",N50&amp;"(")-1))),ISNUMBER(TIMEVALUE(LEFT(N52,FIND("(",N52&amp;"(")-1))),IF(TIMEVALUE(LEFT(N50,FIND("(",N50&amp;"(")-1))&lt;=TIME(3,59,59),TIMEVALUE(LEFT(N50,FIND("(",N50&amp;"(")-1))+1,TIMEVALUE(LEFT(N50,FIND("(",N50&amp;"(")-1)))-60/1440&gt;IF(TIMEVALUE(LEFT(N52,FIND("(",N52&amp;"(")-1))&lt;=TIME(3,59,59),TIMEVALUE(LEFT(N52,FIND("(",N52&amp;"(")-1))+1,TIMEVALUE(LEFT(N52,FIND("(",N52&amp;"(")-1))))</formula>
    </cfRule>
  </conditionalFormatting>
  <conditionalFormatting sqref="T50:X50">
    <cfRule type="expression" priority="153" dxfId="4514">
      <formula>AND(ISNUMBER(TIMEVALUE(LEFT(T50,FIND("(",T50&amp;"(")-1))),ISNUMBER(TIMEVALUE(LEFT(T52,FIND("(",T52&amp;"(")-1))),IF(TIMEVALUE(LEFT(T50,FIND("(",T50&amp;"(")-1))&lt;=TIME(3,59,59),TIMEVALUE(LEFT(T50,FIND("(",T50&amp;"(")-1))+1,TIMEVALUE(LEFT(T50,FIND("(",T50&amp;"(")-1)))-60/1440&gt;IF(TIMEVALUE(LEFT(T52,FIND("(",T52&amp;"(")-1))&lt;=TIME(3,59,59),TIMEVALUE(LEFT(T52,FIND("(",T52&amp;"(")-1))+1,TIMEVALUE(LEFT(T52,FIND("(",T52&amp;"(")-1))))</formula>
    </cfRule>
  </conditionalFormatting>
  <conditionalFormatting sqref="Z50:AD50">
    <cfRule type="expression" priority="105" dxfId="4514">
      <formula>AND(ISNUMBER(TIMEVALUE(LEFT(Z50,FIND("(",Z50&amp;"(")-1))),ISNUMBER(TIMEVALUE(LEFT(Z52,FIND("(",Z52&amp;"(")-1))),IF(TIMEVALUE(LEFT(Z50,FIND("(",Z50&amp;"(")-1))&lt;=TIME(3,59,59),TIMEVALUE(LEFT(Z50,FIND("(",Z50&amp;"(")-1))+1,TIMEVALUE(LEFT(Z50,FIND("(",Z50&amp;"(")-1)))-60/1440&gt;IF(TIMEVALUE(LEFT(Z52,FIND("(",Z52&amp;"(")-1))&lt;=TIME(3,59,59),TIMEVALUE(LEFT(Z52,FIND("(",Z52&amp;"(")-1))+1,TIMEVALUE(LEFT(Z52,FIND("(",Z52&amp;"(")-1))))</formula>
    </cfRule>
  </conditionalFormatting>
  <conditionalFormatting sqref="AF50:AI50">
    <cfRule type="expression" priority="3" dxfId="4514">
      <formula>AND(ISNUMBER(TIMEVALUE(LEFT(AF50,FIND("(",AF50&amp;"(")-1))),ISNUMBER(TIMEVALUE(LEFT(AF52,FIND("(",AF52&amp;"(")-1))),IF(TIMEVALUE(LEFT(AF50,FIND("(",AF50&amp;"(")-1))&lt;=TIME(3,59,59),TIMEVALUE(LEFT(AF50,FIND("(",AF50&amp;"(")-1))+1,TIMEVALUE(LEFT(AF50,FIND("(",AF50&amp;"(")-1)))-60/1440&gt;IF(TIMEVALUE(LEFT(AF52,FIND("(",AF52&amp;"(")-1))&lt;=TIME(3,59,59),TIMEVALUE(LEFT(AF52,FIND("(",AF52&amp;"(")-1))+1,TIMEVALUE(LEFT(AF52,FIND("(",AF52&amp;"(")-1))))</formula>
    </cfRule>
  </conditionalFormatting>
  <conditionalFormatting sqref="F2:F4">
    <cfRule type="expression" priority="308" dxfId="9065">
      <formula>F2&lt;#REF!</formula>
    </cfRule>
  </conditionalFormatting>
  <conditionalFormatting sqref="G9:G18">
    <cfRule type="expression" priority="23323" dxfId="9064">
      <formula>G19-F19&gt;0.5</formula>
    </cfRule>
  </conditionalFormatting>
  <conditionalFormatting sqref="G15:G18">
    <cfRule type="expression" priority="23325" dxfId="9064">
      <formula>G43-F43&gt;0.5</formula>
    </cfRule>
  </conditionalFormatting>
  <conditionalFormatting sqref="G39:G42">
    <cfRule type="expression" priority="23326" dxfId="9064">
      <formula>G13-F13&gt;0.5</formula>
    </cfRule>
  </conditionalFormatting>
  <conditionalFormatting sqref="G7:G8 G13:G14 G19:G38 G43:G54">
    <cfRule type="expression" priority="49" dxfId="9064">
      <formula>G11-F11&gt;0.5</formula>
    </cfRule>
  </conditionalFormatting>
  <conditionalFormatting sqref="J7:L7 J13:L13 J19:L19 J25:L25 J31:L31 J37:L37 J43:L43 J49:L49">
    <cfRule type="expression" priority="294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J7:L8 J13:L14 J19:L20 J25:L26 J31:L32 J37:L38 J43:L44 J49:L50">
    <cfRule type="expression" priority="286" dxfId="9039">
      <formula>J9="--:--"</formula>
    </cfRule>
  </conditionalFormatting>
  <conditionalFormatting sqref="N7:R8">
    <cfRule type="expression" priority="238" dxfId="9039">
      <formula>N9="--:--"</formula>
    </cfRule>
  </conditionalFormatting>
  <conditionalFormatting sqref="T7:X8">
    <cfRule type="expression" priority="190" dxfId="9039">
      <formula>T9="--:--"</formula>
    </cfRule>
  </conditionalFormatting>
  <conditionalFormatting sqref="Z7:AD8">
    <cfRule type="expression" priority="142" dxfId="9039">
      <formula>Z9="--:--"</formula>
    </cfRule>
  </conditionalFormatting>
  <conditionalFormatting sqref="AF7:AI8">
    <cfRule type="expression" priority="22" dxfId="9039">
      <formula>AF9="--:--"</formula>
    </cfRule>
  </conditionalFormatting>
  <conditionalFormatting sqref="J8:L8 J14:L14 J20:L20 J26:L26 J32:L32 J38:L38 J44:L44 J50:L50">
    <cfRule type="expression" priority="295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13:R14">
    <cfRule type="expression" priority="208" dxfId="9039">
      <formula>N15="--:--"</formula>
    </cfRule>
  </conditionalFormatting>
  <conditionalFormatting sqref="T13:X14">
    <cfRule type="expression" priority="160" dxfId="9039">
      <formula>T15="--:--"</formula>
    </cfRule>
  </conditionalFormatting>
  <conditionalFormatting sqref="Z13:AD14">
    <cfRule type="expression" priority="112" dxfId="9039">
      <formula>Z15="--:--"</formula>
    </cfRule>
  </conditionalFormatting>
  <conditionalFormatting sqref="AF13:AI14">
    <cfRule type="expression" priority="7" dxfId="9039">
      <formula>AF15="--:--"</formula>
    </cfRule>
  </conditionalFormatting>
  <conditionalFormatting sqref="N19:R20">
    <cfRule type="expression" priority="232" dxfId="9039">
      <formula>N21="--:--"</formula>
    </cfRule>
  </conditionalFormatting>
  <conditionalFormatting sqref="T19:X20">
    <cfRule type="expression" priority="184" dxfId="9039">
      <formula>T21="--:--"</formula>
    </cfRule>
  </conditionalFormatting>
  <conditionalFormatting sqref="Z19:AD20">
    <cfRule type="expression" priority="136" dxfId="9039">
      <formula>Z21="--:--"</formula>
    </cfRule>
  </conditionalFormatting>
  <conditionalFormatting sqref="AF19:AI20">
    <cfRule type="expression" priority="19" dxfId="9039">
      <formula>AF21="--:--"</formula>
    </cfRule>
  </conditionalFormatting>
  <conditionalFormatting sqref="N25:R26">
    <cfRule type="expression" priority="226" dxfId="9039">
      <formula>N27="--:--"</formula>
    </cfRule>
  </conditionalFormatting>
  <conditionalFormatting sqref="T25:X26">
    <cfRule type="expression" priority="178" dxfId="9039">
      <formula>T27="--:--"</formula>
    </cfRule>
  </conditionalFormatting>
  <conditionalFormatting sqref="Z25:AD26">
    <cfRule type="expression" priority="130" dxfId="9039">
      <formula>Z27="--:--"</formula>
    </cfRule>
  </conditionalFormatting>
  <conditionalFormatting sqref="AF25:AI26">
    <cfRule type="expression" priority="16" dxfId="9039">
      <formula>AF27="--:--"</formula>
    </cfRule>
  </conditionalFormatting>
  <conditionalFormatting sqref="N31:R32">
    <cfRule type="expression" priority="220" dxfId="9039">
      <formula>N33="--:--"</formula>
    </cfRule>
  </conditionalFormatting>
  <conditionalFormatting sqref="T31:X32">
    <cfRule type="expression" priority="172" dxfId="9039">
      <formula>T33="--:--"</formula>
    </cfRule>
  </conditionalFormatting>
  <conditionalFormatting sqref="Z31:AD32">
    <cfRule type="expression" priority="124" dxfId="9039">
      <formula>Z33="--:--"</formula>
    </cfRule>
  </conditionalFormatting>
  <conditionalFormatting sqref="AF31:AI32">
    <cfRule type="expression" priority="13" dxfId="9039">
      <formula>AF33="--:--"</formula>
    </cfRule>
  </conditionalFormatting>
  <conditionalFormatting sqref="N37:R38">
    <cfRule type="expression" priority="214" dxfId="9039">
      <formula>N39="--:--"</formula>
    </cfRule>
  </conditionalFormatting>
  <conditionalFormatting sqref="T37:X38">
    <cfRule type="expression" priority="166" dxfId="9039">
      <formula>T39="--:--"</formula>
    </cfRule>
  </conditionalFormatting>
  <conditionalFormatting sqref="Z37:AD38">
    <cfRule type="expression" priority="118" dxfId="9039">
      <formula>Z39="--:--"</formula>
    </cfRule>
  </conditionalFormatting>
  <conditionalFormatting sqref="AF37:AI38">
    <cfRule type="expression" priority="10" dxfId="9039">
      <formula>AF39="--:--"</formula>
    </cfRule>
  </conditionalFormatting>
  <conditionalFormatting sqref="N43:R44">
    <cfRule type="expression" priority="202" dxfId="9039">
      <formula>N45="--:--"</formula>
    </cfRule>
  </conditionalFormatting>
  <conditionalFormatting sqref="T43:X44">
    <cfRule type="expression" priority="154" dxfId="9039">
      <formula>T45="--:--"</formula>
    </cfRule>
  </conditionalFormatting>
  <conditionalFormatting sqref="Z43:AD44">
    <cfRule type="expression" priority="106" dxfId="9039">
      <formula>Z45="--:--"</formula>
    </cfRule>
  </conditionalFormatting>
  <conditionalFormatting sqref="AF43:AI44">
    <cfRule type="expression" priority="4" dxfId="9039">
      <formula>AF45="--:--"</formula>
    </cfRule>
  </conditionalFormatting>
  <conditionalFormatting sqref="N49:R50">
    <cfRule type="expression" priority="196" dxfId="9039">
      <formula>N51="--:--"</formula>
    </cfRule>
  </conditionalFormatting>
  <conditionalFormatting sqref="T49:X50">
    <cfRule type="expression" priority="148" dxfId="9039">
      <formula>T51="--:--"</formula>
    </cfRule>
  </conditionalFormatting>
  <conditionalFormatting sqref="Z49:AD50">
    <cfRule type="expression" priority="100" dxfId="9039">
      <formula>Z51="--:--"</formula>
    </cfRule>
  </conditionalFormatting>
  <conditionalFormatting sqref="AF49:AI50">
    <cfRule type="expression" priority="1" dxfId="9039">
      <formula>AF51="--:--"</formula>
    </cfRule>
  </conditionalFormatting>
  <pageMargins left="0.25" right="0.25" top="0.75" bottom="0.75" header="0.3" footer="0.3"/>
  <pageSetup orientation="landscape" paperSize="77" scale="29" fitToHeight="22"/>
</worksheet>
</file>

<file path=xl/worksheets/sheet2.xml><?xml version="1.0" encoding="utf-8"?>
<worksheet xmlns="http://schemas.openxmlformats.org/spreadsheetml/2006/main">
  <sheetPr codeName="Sheet5">
    <outlinePr summaryBelow="0"/>
    <pageSetUpPr fitToPage="1"/>
  </sheetPr>
  <dimension ref="A1:AI450"/>
  <sheetViews>
    <sheetView topLeftCell="A406" workbookViewId="0">
      <selection activeCell="I7" sqref="I7:AI18"/>
    </sheetView>
  </sheetViews>
  <sheetFormatPr baseColWidth="10" defaultColWidth="9.1640625" defaultRowHeight="14"/>
  <cols>
    <col width="9.5" customWidth="1" style="129" min="2" max="2"/>
    <col width="15.5" customWidth="1" style="129" min="4" max="4"/>
    <col width="16.1640625" customWidth="1" style="129" min="5" max="5"/>
    <col width="20" customWidth="1" style="129" min="6" max="8"/>
    <col width="14.1640625" customWidth="1" style="129" min="9" max="9"/>
    <col width="11.1640625" customWidth="1" style="129" min="10" max="35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</row>
    <row r="4" ht="14" customHeight="1" s="129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31" t="n">
        <v>4</v>
      </c>
      <c r="K4" s="131" t="n">
        <v>5</v>
      </c>
      <c r="L4" s="131" t="n">
        <v>6</v>
      </c>
      <c r="M4" s="132" t="inlineStr">
        <is>
          <t>周末/假期</t>
        </is>
      </c>
      <c r="N4" s="131" t="n">
        <v>2</v>
      </c>
      <c r="O4" s="131" t="n">
        <v>3</v>
      </c>
      <c r="P4" s="131" t="n">
        <v>4</v>
      </c>
      <c r="Q4" s="131" t="n">
        <v>5</v>
      </c>
      <c r="R4" s="131" t="n">
        <v>6</v>
      </c>
      <c r="S4" s="132" t="inlineStr">
        <is>
          <t>周末/假期</t>
        </is>
      </c>
      <c r="T4" s="131" t="n">
        <v>2</v>
      </c>
      <c r="U4" s="131" t="n">
        <v>3</v>
      </c>
      <c r="V4" s="131" t="n">
        <v>4</v>
      </c>
      <c r="W4" s="131" t="n">
        <v>5</v>
      </c>
      <c r="X4" s="131" t="n">
        <v>6</v>
      </c>
      <c r="Y4" s="132" t="inlineStr">
        <is>
          <t>周末/假期</t>
        </is>
      </c>
      <c r="Z4" s="131" t="n">
        <v>2</v>
      </c>
      <c r="AA4" s="131" t="n">
        <v>3</v>
      </c>
      <c r="AB4" s="131" t="n">
        <v>4</v>
      </c>
      <c r="AC4" s="131" t="n">
        <v>5</v>
      </c>
      <c r="AD4" s="131" t="n">
        <v>6</v>
      </c>
      <c r="AE4" s="132" t="inlineStr">
        <is>
          <t>周末/假期</t>
        </is>
      </c>
      <c r="AF4" s="131" t="n">
        <v>2</v>
      </c>
      <c r="AG4" s="131" t="n">
        <v>3</v>
      </c>
      <c r="AH4" s="131" t="n">
        <v>4</v>
      </c>
      <c r="AI4" s="131" t="n">
        <v>5</v>
      </c>
    </row>
    <row r="5" ht="39" customHeight="1" s="129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46113</v>
      </c>
      <c r="K5" s="134" t="n">
        <v>46114</v>
      </c>
      <c r="L5" s="134" t="n">
        <v>46115</v>
      </c>
      <c r="N5" s="134" t="n">
        <v>46118</v>
      </c>
      <c r="O5" s="134" t="n">
        <v>46119</v>
      </c>
      <c r="P5" s="134" t="n">
        <v>46120</v>
      </c>
      <c r="Q5" s="134" t="n">
        <v>46121</v>
      </c>
      <c r="R5" s="134" t="n">
        <v>46122</v>
      </c>
      <c r="T5" s="134" t="n">
        <v>46125</v>
      </c>
      <c r="U5" s="134" t="n">
        <v>46126</v>
      </c>
      <c r="V5" s="134" t="n">
        <v>46127</v>
      </c>
      <c r="W5" s="134" t="n">
        <v>46128</v>
      </c>
      <c r="X5" s="134" t="n">
        <v>46129</v>
      </c>
      <c r="Z5" s="134" t="n">
        <v>46132</v>
      </c>
      <c r="AA5" s="134" t="n">
        <v>46133</v>
      </c>
      <c r="AB5" s="134" t="n">
        <v>46134</v>
      </c>
      <c r="AC5" s="134" t="n">
        <v>46135</v>
      </c>
      <c r="AD5" s="134" t="n">
        <v>46136</v>
      </c>
      <c r="AF5" s="134" t="n">
        <v>46139</v>
      </c>
      <c r="AG5" s="134" t="n">
        <v>46140</v>
      </c>
      <c r="AH5" s="134" t="n">
        <v>46141</v>
      </c>
      <c r="AI5" s="134" t="n">
        <v>46142</v>
      </c>
    </row>
    <row r="6" ht="16" customHeight="1" s="129">
      <c r="A6" s="167" t="inlineStr">
        <is>
          <t>游戏业务</t>
        </is>
      </c>
      <c r="B6" s="168" t="n"/>
      <c r="C6" s="168" t="n"/>
      <c r="D6" s="168" t="n"/>
      <c r="E6" s="168" t="n"/>
      <c r="F6" s="168" t="n"/>
      <c r="G6" s="168" t="n"/>
      <c r="H6" s="168" t="n"/>
      <c r="I6" s="168" t="n"/>
      <c r="J6" s="168" t="n"/>
      <c r="K6" s="168" t="n"/>
      <c r="L6" s="168" t="n"/>
      <c r="M6" s="168" t="n"/>
      <c r="N6" s="168" t="n"/>
      <c r="O6" s="168" t="n"/>
      <c r="P6" s="168" t="n"/>
      <c r="Q6" s="168" t="n"/>
      <c r="R6" s="168" t="n"/>
      <c r="S6" s="168" t="n"/>
      <c r="T6" s="168" t="n"/>
      <c r="U6" s="168" t="n"/>
      <c r="V6" s="168" t="n"/>
      <c r="W6" s="168" t="n"/>
      <c r="X6" s="168" t="n"/>
      <c r="Y6" s="168" t="n"/>
      <c r="Z6" s="168" t="n"/>
      <c r="AA6" s="168" t="n"/>
      <c r="AB6" s="168" t="n"/>
      <c r="AC6" s="168" t="n"/>
      <c r="AD6" s="168" t="n"/>
      <c r="AE6" s="168" t="n"/>
      <c r="AF6" s="168" t="n"/>
      <c r="AG6" s="168" t="n"/>
      <c r="AH6" s="168" t="n"/>
      <c r="AI6" s="169" t="n"/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</sheetData>
  <mergeCells count="819">
    <mergeCell ref="H235:H240"/>
    <mergeCell ref="I197:I198"/>
    <mergeCell ref="H91:H96"/>
    <mergeCell ref="B91:B96"/>
    <mergeCell ref="B25:B30"/>
    <mergeCell ref="F289:F294"/>
    <mergeCell ref="A295:A300"/>
    <mergeCell ref="I57:I58"/>
    <mergeCell ref="C265:C270"/>
    <mergeCell ref="I355:I356"/>
    <mergeCell ref="A61:A66"/>
    <mergeCell ref="B391:B396"/>
    <mergeCell ref="D385:D390"/>
    <mergeCell ref="H157:H162"/>
    <mergeCell ref="I121:I122"/>
    <mergeCell ref="G283:G288"/>
    <mergeCell ref="I357:I358"/>
    <mergeCell ref="B157:B162"/>
    <mergeCell ref="B151:B156"/>
    <mergeCell ref="D151:D156"/>
    <mergeCell ref="A217:A222"/>
    <mergeCell ref="I123:I124"/>
    <mergeCell ref="F259:F264"/>
    <mergeCell ref="I421:I422"/>
    <mergeCell ref="G235:G240"/>
    <mergeCell ref="I231:I232"/>
    <mergeCell ref="I187:I188"/>
    <mergeCell ref="H19:H24"/>
    <mergeCell ref="I423:I424"/>
    <mergeCell ref="G349:G354"/>
    <mergeCell ref="C181:C186"/>
    <mergeCell ref="H37:H42"/>
    <mergeCell ref="F61:F66"/>
    <mergeCell ref="G163:G168"/>
    <mergeCell ref="E187:E192"/>
    <mergeCell ref="H319:H324"/>
    <mergeCell ref="I335:I336"/>
    <mergeCell ref="D313:D318"/>
    <mergeCell ref="G301:G306"/>
    <mergeCell ref="B79:B84"/>
    <mergeCell ref="D79:D84"/>
    <mergeCell ref="G217:G222"/>
    <mergeCell ref="I213:I214"/>
    <mergeCell ref="E253:E258"/>
    <mergeCell ref="I151:I152"/>
    <mergeCell ref="H43:H48"/>
    <mergeCell ref="C49:C54"/>
    <mergeCell ref="I449:I450"/>
    <mergeCell ref="I7:I8"/>
    <mergeCell ref="I305:I306"/>
    <mergeCell ref="G169:G174"/>
    <mergeCell ref="I243:I244"/>
    <mergeCell ref="F379:F384"/>
    <mergeCell ref="D379:D384"/>
    <mergeCell ref="I411:I412"/>
    <mergeCell ref="I215:I216"/>
    <mergeCell ref="B145:B150"/>
    <mergeCell ref="I71:I72"/>
    <mergeCell ref="D145:D150"/>
    <mergeCell ref="D139:D144"/>
    <mergeCell ref="A271:A276"/>
    <mergeCell ref="I307:I308"/>
    <mergeCell ref="F139:F144"/>
    <mergeCell ref="C271:C276"/>
    <mergeCell ref="E265:E270"/>
    <mergeCell ref="I73:I74"/>
    <mergeCell ref="C115:C120"/>
    <mergeCell ref="I371:I372"/>
    <mergeCell ref="C31:C36"/>
    <mergeCell ref="H325:H330"/>
    <mergeCell ref="I219:I220"/>
    <mergeCell ref="E31:E36"/>
    <mergeCell ref="F361:F366"/>
    <mergeCell ref="H361:H366"/>
    <mergeCell ref="C331:C336"/>
    <mergeCell ref="E331:E336"/>
    <mergeCell ref="B397:B402"/>
    <mergeCell ref="I383:I384"/>
    <mergeCell ref="E97:E102"/>
    <mergeCell ref="I429:I430"/>
    <mergeCell ref="B163:B168"/>
    <mergeCell ref="A235:A240"/>
    <mergeCell ref="C91:C96"/>
    <mergeCell ref="I149:I150"/>
    <mergeCell ref="D223:D228"/>
    <mergeCell ref="I447:I448"/>
    <mergeCell ref="I385:I386"/>
    <mergeCell ref="I195:I196"/>
    <mergeCell ref="I251:I252"/>
    <mergeCell ref="A373:A378"/>
    <mergeCell ref="I189:I190"/>
    <mergeCell ref="F229:F234"/>
    <mergeCell ref="B265:B270"/>
    <mergeCell ref="D265:D270"/>
    <mergeCell ref="C355:C360"/>
    <mergeCell ref="A391:A396"/>
    <mergeCell ref="I139:I140"/>
    <mergeCell ref="F343:F348"/>
    <mergeCell ref="C391:C396"/>
    <mergeCell ref="H343:H348"/>
    <mergeCell ref="I237:I238"/>
    <mergeCell ref="B31:B36"/>
    <mergeCell ref="D31:D36"/>
    <mergeCell ref="F427:F432"/>
    <mergeCell ref="A157:A162"/>
    <mergeCell ref="H427:H432"/>
    <mergeCell ref="C157:C162"/>
    <mergeCell ref="I203:I204"/>
    <mergeCell ref="E151:E156"/>
    <mergeCell ref="I361:I362"/>
    <mergeCell ref="F193:F198"/>
    <mergeCell ref="C259:C264"/>
    <mergeCell ref="H193:H198"/>
    <mergeCell ref="E259:E264"/>
    <mergeCell ref="E19:E24"/>
    <mergeCell ref="I221:I222"/>
    <mergeCell ref="G19:G24"/>
    <mergeCell ref="H349:H354"/>
    <mergeCell ref="I313:I314"/>
    <mergeCell ref="F145:F150"/>
    <mergeCell ref="B181:B186"/>
    <mergeCell ref="G37:G42"/>
    <mergeCell ref="A409:A414"/>
    <mergeCell ref="I79:I80"/>
    <mergeCell ref="E319:E324"/>
    <mergeCell ref="G319:G324"/>
    <mergeCell ref="I315:I316"/>
    <mergeCell ref="D445:D450"/>
    <mergeCell ref="F445:F450"/>
    <mergeCell ref="A175:A180"/>
    <mergeCell ref="I23:I24"/>
    <mergeCell ref="E85:E90"/>
    <mergeCell ref="G85:G90"/>
    <mergeCell ref="I81:I82"/>
    <mergeCell ref="I137:I138"/>
    <mergeCell ref="D211:D216"/>
    <mergeCell ref="I379:I380"/>
    <mergeCell ref="F211:F216"/>
    <mergeCell ref="C337:C342"/>
    <mergeCell ref="B49:B54"/>
    <mergeCell ref="I89:I90"/>
    <mergeCell ref="D19:D24"/>
    <mergeCell ref="A289:A294"/>
    <mergeCell ref="E109:E114"/>
    <mergeCell ref="C289:C294"/>
    <mergeCell ref="C145:C150"/>
    <mergeCell ref="I105:I106"/>
    <mergeCell ref="H439:H444"/>
    <mergeCell ref="E145:E150"/>
    <mergeCell ref="E139:E144"/>
    <mergeCell ref="B271:B276"/>
    <mergeCell ref="D271:D276"/>
    <mergeCell ref="E403:E408"/>
    <mergeCell ref="B115:B120"/>
    <mergeCell ref="I163:I164"/>
    <mergeCell ref="G409:G414"/>
    <mergeCell ref="I405:I406"/>
    <mergeCell ref="E445:E450"/>
    <mergeCell ref="C445:C450"/>
    <mergeCell ref="D115:D120"/>
    <mergeCell ref="A241:A246"/>
    <mergeCell ref="A7:A12"/>
    <mergeCell ref="I165:I166"/>
    <mergeCell ref="F301:F306"/>
    <mergeCell ref="I21:I22"/>
    <mergeCell ref="B337:B342"/>
    <mergeCell ref="I263:I264"/>
    <mergeCell ref="F295:F300"/>
    <mergeCell ref="D337:D342"/>
    <mergeCell ref="H295:H300"/>
    <mergeCell ref="D331:D336"/>
    <mergeCell ref="A397:A402"/>
    <mergeCell ref="I211:I212"/>
    <mergeCell ref="F331:F336"/>
    <mergeCell ref="G373:G378"/>
    <mergeCell ref="B37:B42"/>
    <mergeCell ref="I229:I230"/>
    <mergeCell ref="A307:A312"/>
    <mergeCell ref="H61:H66"/>
    <mergeCell ref="D97:D102"/>
    <mergeCell ref="I265:I266"/>
    <mergeCell ref="F97:F102"/>
    <mergeCell ref="C163:C168"/>
    <mergeCell ref="A223:A228"/>
    <mergeCell ref="G427:G432"/>
    <mergeCell ref="G187:G192"/>
    <mergeCell ref="C223:C228"/>
    <mergeCell ref="A163:A168"/>
    <mergeCell ref="I69:I70"/>
    <mergeCell ref="E229:E234"/>
    <mergeCell ref="H217:H222"/>
    <mergeCell ref="G343:G348"/>
    <mergeCell ref="Y4:Y5"/>
    <mergeCell ref="H415:H420"/>
    <mergeCell ref="G109:G114"/>
    <mergeCell ref="E289:E294"/>
    <mergeCell ref="B355:B360"/>
    <mergeCell ref="B415:B420"/>
    <mergeCell ref="E193:E198"/>
    <mergeCell ref="G193:G198"/>
    <mergeCell ref="G295:G300"/>
    <mergeCell ref="I145:I146"/>
    <mergeCell ref="A127:A132"/>
    <mergeCell ref="I443:I444"/>
    <mergeCell ref="I381:I382"/>
    <mergeCell ref="B169:B174"/>
    <mergeCell ref="I95:I96"/>
    <mergeCell ref="F19:F24"/>
    <mergeCell ref="I209:I210"/>
    <mergeCell ref="I147:I148"/>
    <mergeCell ref="F283:F288"/>
    <mergeCell ref="I445:I446"/>
    <mergeCell ref="F277:F282"/>
    <mergeCell ref="I159:I160"/>
    <mergeCell ref="I97:I98"/>
    <mergeCell ref="I395:I396"/>
    <mergeCell ref="D325:D330"/>
    <mergeCell ref="E55:E60"/>
    <mergeCell ref="F325:F330"/>
    <mergeCell ref="F319:F324"/>
    <mergeCell ref="I17:I18"/>
    <mergeCell ref="H49:H54"/>
    <mergeCell ref="I253:I254"/>
    <mergeCell ref="F85:F90"/>
    <mergeCell ref="H85:H90"/>
    <mergeCell ref="G175:G180"/>
    <mergeCell ref="C211:C216"/>
    <mergeCell ref="E211:E216"/>
    <mergeCell ref="F385:F390"/>
    <mergeCell ref="B103:B108"/>
    <mergeCell ref="I173:I174"/>
    <mergeCell ref="H385:H390"/>
    <mergeCell ref="I29:I30"/>
    <mergeCell ref="D103:D108"/>
    <mergeCell ref="B205:B210"/>
    <mergeCell ref="A313:A318"/>
    <mergeCell ref="D205:D210"/>
    <mergeCell ref="B241:B246"/>
    <mergeCell ref="E277:E282"/>
    <mergeCell ref="I31:I32"/>
    <mergeCell ref="G277:G282"/>
    <mergeCell ref="B403:B408"/>
    <mergeCell ref="I329:I330"/>
    <mergeCell ref="H367:H372"/>
    <mergeCell ref="D403:D408"/>
    <mergeCell ref="B55:B60"/>
    <mergeCell ref="D55:D60"/>
    <mergeCell ref="A121:A126"/>
    <mergeCell ref="I279:I280"/>
    <mergeCell ref="A181:A186"/>
    <mergeCell ref="A115:A120"/>
    <mergeCell ref="D169:D174"/>
    <mergeCell ref="I393:I394"/>
    <mergeCell ref="I331:I332"/>
    <mergeCell ref="C229:C234"/>
    <mergeCell ref="I45:I46"/>
    <mergeCell ref="F175:F180"/>
    <mergeCell ref="I281:I282"/>
    <mergeCell ref="H175:H180"/>
    <mergeCell ref="E301:E306"/>
    <mergeCell ref="B7:B12"/>
    <mergeCell ref="A337:A342"/>
    <mergeCell ref="I85:I86"/>
    <mergeCell ref="E67:E72"/>
    <mergeCell ref="H373:H378"/>
    <mergeCell ref="A103:A108"/>
    <mergeCell ref="G67:G72"/>
    <mergeCell ref="C103:C108"/>
    <mergeCell ref="G61:G66"/>
    <mergeCell ref="C97:C102"/>
    <mergeCell ref="B307:B312"/>
    <mergeCell ref="E367:E372"/>
    <mergeCell ref="B73:B78"/>
    <mergeCell ref="I167:I168"/>
    <mergeCell ref="I161:I162"/>
    <mergeCell ref="I403:I404"/>
    <mergeCell ref="I259:I260"/>
    <mergeCell ref="G127:G132"/>
    <mergeCell ref="D259:D264"/>
    <mergeCell ref="D253:D258"/>
    <mergeCell ref="F253:F258"/>
    <mergeCell ref="B289:B294"/>
    <mergeCell ref="F109:F114"/>
    <mergeCell ref="H253:H258"/>
    <mergeCell ref="D289:D294"/>
    <mergeCell ref="H109:H114"/>
    <mergeCell ref="A415:A420"/>
    <mergeCell ref="C415:C420"/>
    <mergeCell ref="I19:I20"/>
    <mergeCell ref="I261:I262"/>
    <mergeCell ref="H355:H360"/>
    <mergeCell ref="F409:F414"/>
    <mergeCell ref="H409:H414"/>
    <mergeCell ref="F157:F162"/>
    <mergeCell ref="I319:I320"/>
    <mergeCell ref="C283:C288"/>
    <mergeCell ref="E283:E288"/>
    <mergeCell ref="I179:I180"/>
    <mergeCell ref="G43:G48"/>
    <mergeCell ref="I337:I338"/>
    <mergeCell ref="B361:B366"/>
    <mergeCell ref="C397:C402"/>
    <mergeCell ref="I287:I288"/>
    <mergeCell ref="C349:C354"/>
    <mergeCell ref="A49:A54"/>
    <mergeCell ref="I103:I104"/>
    <mergeCell ref="I401:I402"/>
    <mergeCell ref="I53:I54"/>
    <mergeCell ref="G355:G360"/>
    <mergeCell ref="I351:I352"/>
    <mergeCell ref="I47:I48"/>
    <mergeCell ref="I289:I290"/>
    <mergeCell ref="I345:I346"/>
    <mergeCell ref="C187:C192"/>
    <mergeCell ref="A187:A192"/>
    <mergeCell ref="A205:A210"/>
    <mergeCell ref="F235:F240"/>
    <mergeCell ref="C205:C210"/>
    <mergeCell ref="A385:A390"/>
    <mergeCell ref="E205:E210"/>
    <mergeCell ref="I111:I112"/>
    <mergeCell ref="F247:F252"/>
    <mergeCell ref="H241:H246"/>
    <mergeCell ref="D277:D282"/>
    <mergeCell ref="G367:G372"/>
    <mergeCell ref="C403:C408"/>
    <mergeCell ref="A55:A60"/>
    <mergeCell ref="H7:H12"/>
    <mergeCell ref="D43:D48"/>
    <mergeCell ref="F43:F48"/>
    <mergeCell ref="E133:E138"/>
    <mergeCell ref="G133:G138"/>
    <mergeCell ref="C169:C174"/>
    <mergeCell ref="B379:B384"/>
    <mergeCell ref="I63:I64"/>
    <mergeCell ref="E169:E174"/>
    <mergeCell ref="I169:I170"/>
    <mergeCell ref="H307:H312"/>
    <mergeCell ref="D301:D306"/>
    <mergeCell ref="B139:B144"/>
    <mergeCell ref="G433:G438"/>
    <mergeCell ref="A265:A270"/>
    <mergeCell ref="D67:D72"/>
    <mergeCell ref="I27:I28"/>
    <mergeCell ref="F67:F72"/>
    <mergeCell ref="I325:I326"/>
    <mergeCell ref="A31:A36"/>
    <mergeCell ref="D361:D366"/>
    <mergeCell ref="D295:D300"/>
    <mergeCell ref="C421:C426"/>
    <mergeCell ref="I91:I92"/>
    <mergeCell ref="C37:C42"/>
    <mergeCell ref="A73:A78"/>
    <mergeCell ref="I389:I390"/>
    <mergeCell ref="I327:I328"/>
    <mergeCell ref="F367:F372"/>
    <mergeCell ref="F25:F30"/>
    <mergeCell ref="H25:H30"/>
    <mergeCell ref="I41:I42"/>
    <mergeCell ref="I277:I278"/>
    <mergeCell ref="C235:C240"/>
    <mergeCell ref="F133:F138"/>
    <mergeCell ref="I391:I392"/>
    <mergeCell ref="F127:F132"/>
    <mergeCell ref="H127:H132"/>
    <mergeCell ref="G253:G258"/>
    <mergeCell ref="I205:I206"/>
    <mergeCell ref="B229:B234"/>
    <mergeCell ref="C55:C60"/>
    <mergeCell ref="A355:A360"/>
    <mergeCell ref="G121:G126"/>
    <mergeCell ref="I117:I118"/>
    <mergeCell ref="E157:E162"/>
    <mergeCell ref="I55:I56"/>
    <mergeCell ref="B427:B432"/>
    <mergeCell ref="B283:B288"/>
    <mergeCell ref="I353:I354"/>
    <mergeCell ref="D427:D432"/>
    <mergeCell ref="H247:H252"/>
    <mergeCell ref="D283:D288"/>
    <mergeCell ref="G415:G420"/>
    <mergeCell ref="A151:A156"/>
    <mergeCell ref="I59:I60"/>
    <mergeCell ref="F13:F18"/>
    <mergeCell ref="I119:I120"/>
    <mergeCell ref="D193:D198"/>
    <mergeCell ref="H13:H18"/>
    <mergeCell ref="I417:I418"/>
    <mergeCell ref="I295:I296"/>
    <mergeCell ref="M4:M5"/>
    <mergeCell ref="I183:I184"/>
    <mergeCell ref="F313:F318"/>
    <mergeCell ref="I419:I420"/>
    <mergeCell ref="H313:H318"/>
    <mergeCell ref="I275:I276"/>
    <mergeCell ref="D349:D354"/>
    <mergeCell ref="F349:F354"/>
    <mergeCell ref="G439:G444"/>
    <mergeCell ref="E37:E42"/>
    <mergeCell ref="I185:I186"/>
    <mergeCell ref="B445:B450"/>
    <mergeCell ref="E235:E240"/>
    <mergeCell ref="A427:A432"/>
    <mergeCell ref="H181:H186"/>
    <mergeCell ref="E247:E252"/>
    <mergeCell ref="C427:C432"/>
    <mergeCell ref="G247:G252"/>
    <mergeCell ref="G241:G246"/>
    <mergeCell ref="A79:A84"/>
    <mergeCell ref="E13:E18"/>
    <mergeCell ref="G13:G18"/>
    <mergeCell ref="D229:D234"/>
    <mergeCell ref="G7:G12"/>
    <mergeCell ref="B253:B258"/>
    <mergeCell ref="I301:I302"/>
    <mergeCell ref="I239:I240"/>
    <mergeCell ref="I201:I202"/>
    <mergeCell ref="H133:H138"/>
    <mergeCell ref="A379:A384"/>
    <mergeCell ref="I43:I44"/>
    <mergeCell ref="I341:I342"/>
    <mergeCell ref="I67:I68"/>
    <mergeCell ref="C109:C114"/>
    <mergeCell ref="D439:D444"/>
    <mergeCell ref="A145:A150"/>
    <mergeCell ref="I303:I304"/>
    <mergeCell ref="F439:F444"/>
    <mergeCell ref="A139:A144"/>
    <mergeCell ref="F433:F438"/>
    <mergeCell ref="C139:C144"/>
    <mergeCell ref="I51:I52"/>
    <mergeCell ref="I107:I108"/>
    <mergeCell ref="H433:H438"/>
    <mergeCell ref="I349:I350"/>
    <mergeCell ref="G73:G78"/>
    <mergeCell ref="I367:I368"/>
    <mergeCell ref="F199:F204"/>
    <mergeCell ref="C409:C414"/>
    <mergeCell ref="A445:A450"/>
    <mergeCell ref="H199:H204"/>
    <mergeCell ref="D235:D240"/>
    <mergeCell ref="E325:E330"/>
    <mergeCell ref="A361:A366"/>
    <mergeCell ref="G325:G330"/>
    <mergeCell ref="C361:C366"/>
    <mergeCell ref="I207:I208"/>
    <mergeCell ref="AE4:AE5"/>
    <mergeCell ref="E91:E96"/>
    <mergeCell ref="E25:E30"/>
    <mergeCell ref="G91:G96"/>
    <mergeCell ref="G25:G30"/>
    <mergeCell ref="B331:B336"/>
    <mergeCell ref="I425:I426"/>
    <mergeCell ref="E391:E396"/>
    <mergeCell ref="B97:B102"/>
    <mergeCell ref="G391:G396"/>
    <mergeCell ref="G385:G390"/>
    <mergeCell ref="A229:A234"/>
    <mergeCell ref="I427:I428"/>
    <mergeCell ref="I283:I284"/>
    <mergeCell ref="I87:I88"/>
    <mergeCell ref="G151:G156"/>
    <mergeCell ref="D217:D222"/>
    <mergeCell ref="F217:F222"/>
    <mergeCell ref="A343:A348"/>
    <mergeCell ref="C343:C348"/>
    <mergeCell ref="I233:I234"/>
    <mergeCell ref="E343:E348"/>
    <mergeCell ref="I227:I228"/>
    <mergeCell ref="H121:H126"/>
    <mergeCell ref="I347:I348"/>
    <mergeCell ref="I285:I286"/>
    <mergeCell ref="B121:B126"/>
    <mergeCell ref="F415:F420"/>
    <mergeCell ref="A6:AI6"/>
    <mergeCell ref="I235:I236"/>
    <mergeCell ref="A193:A198"/>
    <mergeCell ref="C193:C198"/>
    <mergeCell ref="H421:H426"/>
    <mergeCell ref="C295:C300"/>
    <mergeCell ref="E295:E300"/>
    <mergeCell ref="B421:B426"/>
    <mergeCell ref="E409:E414"/>
    <mergeCell ref="H187:H192"/>
    <mergeCell ref="G313:G318"/>
    <mergeCell ref="B187:B192"/>
    <mergeCell ref="I309:I310"/>
    <mergeCell ref="D37:D42"/>
    <mergeCell ref="G79:G84"/>
    <mergeCell ref="I153:I154"/>
    <mergeCell ref="I9:I10"/>
    <mergeCell ref="I311:I312"/>
    <mergeCell ref="B343:B348"/>
    <mergeCell ref="D343:D348"/>
    <mergeCell ref="I217:I218"/>
    <mergeCell ref="F49:F54"/>
    <mergeCell ref="B85:B90"/>
    <mergeCell ref="I77:I78"/>
    <mergeCell ref="I133:I134"/>
    <mergeCell ref="G379:G384"/>
    <mergeCell ref="I375:I376"/>
    <mergeCell ref="D85:D90"/>
    <mergeCell ref="A211:A216"/>
    <mergeCell ref="I369:I370"/>
    <mergeCell ref="I11:I12"/>
    <mergeCell ref="B193:B198"/>
    <mergeCell ref="I75:I76"/>
    <mergeCell ref="I135:I136"/>
    <mergeCell ref="F271:F276"/>
    <mergeCell ref="I377:I378"/>
    <mergeCell ref="B385:B390"/>
    <mergeCell ref="H271:H276"/>
    <mergeCell ref="H205:H210"/>
    <mergeCell ref="F265:F270"/>
    <mergeCell ref="H265:H270"/>
    <mergeCell ref="I181:I182"/>
    <mergeCell ref="E427:E432"/>
    <mergeCell ref="E43:E48"/>
    <mergeCell ref="A277:A282"/>
    <mergeCell ref="H31:H36"/>
    <mergeCell ref="I435:I436"/>
    <mergeCell ref="E439:E444"/>
    <mergeCell ref="C277:C282"/>
    <mergeCell ref="I223:I224"/>
    <mergeCell ref="G157:G162"/>
    <mergeCell ref="H73:H78"/>
    <mergeCell ref="I37:I38"/>
    <mergeCell ref="B409:B414"/>
    <mergeCell ref="G199:G204"/>
    <mergeCell ref="H331:H336"/>
    <mergeCell ref="E397:E402"/>
    <mergeCell ref="G397:G402"/>
    <mergeCell ref="B175:B180"/>
    <mergeCell ref="I297:I298"/>
    <mergeCell ref="D175:D180"/>
    <mergeCell ref="A301:A306"/>
    <mergeCell ref="D91:D96"/>
    <mergeCell ref="F91:F96"/>
    <mergeCell ref="A331:A336"/>
    <mergeCell ref="B373:B378"/>
    <mergeCell ref="I299:I300"/>
    <mergeCell ref="D373:D378"/>
    <mergeCell ref="C67:C72"/>
    <mergeCell ref="F373:F378"/>
    <mergeCell ref="G265:G270"/>
    <mergeCell ref="C61:C66"/>
    <mergeCell ref="E61:E66"/>
    <mergeCell ref="D391:D396"/>
    <mergeCell ref="A97:A102"/>
    <mergeCell ref="F391:F396"/>
    <mergeCell ref="H391:H396"/>
    <mergeCell ref="I65:I66"/>
    <mergeCell ref="I363:I364"/>
    <mergeCell ref="D157:D162"/>
    <mergeCell ref="F151:F156"/>
    <mergeCell ref="C217:C222"/>
    <mergeCell ref="H151:H156"/>
    <mergeCell ref="I129:I130"/>
    <mergeCell ref="E217:E222"/>
    <mergeCell ref="I365:I366"/>
    <mergeCell ref="H259:H264"/>
    <mergeCell ref="E127:E132"/>
    <mergeCell ref="B109:B114"/>
    <mergeCell ref="E415:E420"/>
    <mergeCell ref="D109:D114"/>
    <mergeCell ref="I225:I226"/>
    <mergeCell ref="H55:H60"/>
    <mergeCell ref="G145:G150"/>
    <mergeCell ref="I141:I142"/>
    <mergeCell ref="B295:B300"/>
    <mergeCell ref="I439:I440"/>
    <mergeCell ref="I317:I318"/>
    <mergeCell ref="G181:G186"/>
    <mergeCell ref="A421:A426"/>
    <mergeCell ref="I25:I26"/>
    <mergeCell ref="D409:D414"/>
    <mergeCell ref="B61:B66"/>
    <mergeCell ref="D61:D66"/>
    <mergeCell ref="I83:I84"/>
    <mergeCell ref="I143:I144"/>
    <mergeCell ref="G445:G450"/>
    <mergeCell ref="A283:A288"/>
    <mergeCell ref="I441:I442"/>
    <mergeCell ref="I155:I156"/>
    <mergeCell ref="G97:G102"/>
    <mergeCell ref="I93:I94"/>
    <mergeCell ref="D163:D168"/>
    <mergeCell ref="C301:C306"/>
    <mergeCell ref="F79:F84"/>
    <mergeCell ref="H79:H84"/>
    <mergeCell ref="C43:C48"/>
    <mergeCell ref="I157:I158"/>
    <mergeCell ref="I13:I14"/>
    <mergeCell ref="A91:A96"/>
    <mergeCell ref="I249:I250"/>
    <mergeCell ref="S4:S5"/>
    <mergeCell ref="A85:A90"/>
    <mergeCell ref="E49:E54"/>
    <mergeCell ref="G49:G54"/>
    <mergeCell ref="A109:A114"/>
    <mergeCell ref="H379:H384"/>
    <mergeCell ref="B211:B216"/>
    <mergeCell ref="H145:H150"/>
    <mergeCell ref="I109:I110"/>
    <mergeCell ref="H139:H144"/>
    <mergeCell ref="E271:E276"/>
    <mergeCell ref="C385:C390"/>
    <mergeCell ref="G271:G276"/>
    <mergeCell ref="E115:E120"/>
    <mergeCell ref="G115:G120"/>
    <mergeCell ref="C151:C156"/>
    <mergeCell ref="D241:D246"/>
    <mergeCell ref="G31:G36"/>
    <mergeCell ref="I409:I410"/>
    <mergeCell ref="F241:F246"/>
    <mergeCell ref="B277:B282"/>
    <mergeCell ref="C367:C372"/>
    <mergeCell ref="A403:A408"/>
    <mergeCell ref="F7:F12"/>
    <mergeCell ref="B43:B48"/>
    <mergeCell ref="G331:G336"/>
    <mergeCell ref="D397:D402"/>
    <mergeCell ref="A169:A174"/>
    <mergeCell ref="F397:F402"/>
    <mergeCell ref="D49:D54"/>
    <mergeCell ref="I131:I132"/>
    <mergeCell ref="I373:I374"/>
    <mergeCell ref="C175:C180"/>
    <mergeCell ref="F163:F168"/>
    <mergeCell ref="F223:F228"/>
    <mergeCell ref="E433:E438"/>
    <mergeCell ref="H223:H228"/>
    <mergeCell ref="E349:E354"/>
    <mergeCell ref="C373:C378"/>
    <mergeCell ref="I431:I432"/>
    <mergeCell ref="B67:B72"/>
    <mergeCell ref="I343:I344"/>
    <mergeCell ref="F31:F36"/>
    <mergeCell ref="B367:B372"/>
    <mergeCell ref="D367:D372"/>
    <mergeCell ref="D25:D30"/>
    <mergeCell ref="I35:I36"/>
    <mergeCell ref="G259:G264"/>
    <mergeCell ref="B127:B132"/>
    <mergeCell ref="I193:I194"/>
    <mergeCell ref="D127:D132"/>
    <mergeCell ref="A259:A264"/>
    <mergeCell ref="A253:A258"/>
    <mergeCell ref="C253:C258"/>
    <mergeCell ref="I99:I100"/>
    <mergeCell ref="I397:I398"/>
    <mergeCell ref="I15:I16"/>
    <mergeCell ref="I257:I258"/>
    <mergeCell ref="A19:A24"/>
    <mergeCell ref="H289:H294"/>
    <mergeCell ref="C19:C24"/>
    <mergeCell ref="I101:I102"/>
    <mergeCell ref="I321:I322"/>
    <mergeCell ref="E121:E126"/>
    <mergeCell ref="D247:D252"/>
    <mergeCell ref="A319:A324"/>
    <mergeCell ref="H445:H450"/>
    <mergeCell ref="C319:C324"/>
    <mergeCell ref="E175:E180"/>
    <mergeCell ref="B301:B306"/>
    <mergeCell ref="E421:E426"/>
    <mergeCell ref="H211:H216"/>
    <mergeCell ref="I175:I176"/>
    <mergeCell ref="G421:G426"/>
    <mergeCell ref="E337:E342"/>
    <mergeCell ref="G337:G342"/>
    <mergeCell ref="E373:E378"/>
    <mergeCell ref="E103:E108"/>
    <mergeCell ref="G103:G108"/>
    <mergeCell ref="I177:I178"/>
    <mergeCell ref="B349:B354"/>
    <mergeCell ref="I33:I34"/>
    <mergeCell ref="G205:G210"/>
    <mergeCell ref="F307:F312"/>
    <mergeCell ref="A37:A42"/>
    <mergeCell ref="I269:I270"/>
    <mergeCell ref="H163:H168"/>
    <mergeCell ref="D415:D420"/>
    <mergeCell ref="I437:I438"/>
    <mergeCell ref="I241:I242"/>
    <mergeCell ref="G403:G408"/>
    <mergeCell ref="I399:I400"/>
    <mergeCell ref="I333:I334"/>
    <mergeCell ref="D181:D186"/>
    <mergeCell ref="A247:A252"/>
    <mergeCell ref="F181:F186"/>
    <mergeCell ref="F115:F120"/>
    <mergeCell ref="C247:C252"/>
    <mergeCell ref="H115:H120"/>
    <mergeCell ref="C241:C246"/>
    <mergeCell ref="E241:E246"/>
    <mergeCell ref="H229:H234"/>
    <mergeCell ref="I245:I246"/>
    <mergeCell ref="A13:A18"/>
    <mergeCell ref="E355:E360"/>
    <mergeCell ref="C7:C12"/>
    <mergeCell ref="H301:H306"/>
    <mergeCell ref="A43:A48"/>
    <mergeCell ref="E7:E12"/>
    <mergeCell ref="F337:F342"/>
    <mergeCell ref="B133:B138"/>
    <mergeCell ref="H337:H342"/>
    <mergeCell ref="D133:D138"/>
    <mergeCell ref="H67:H72"/>
    <mergeCell ref="C307:C312"/>
    <mergeCell ref="I267:I268"/>
    <mergeCell ref="E307:E312"/>
    <mergeCell ref="H97:H102"/>
    <mergeCell ref="B439:B444"/>
    <mergeCell ref="I61:I62"/>
    <mergeCell ref="G307:G312"/>
    <mergeCell ref="E223:E228"/>
    <mergeCell ref="I359:I360"/>
    <mergeCell ref="G223:G228"/>
    <mergeCell ref="D433:D438"/>
    <mergeCell ref="B433:B438"/>
    <mergeCell ref="C73:C78"/>
    <mergeCell ref="A67:A72"/>
    <mergeCell ref="B199:B204"/>
    <mergeCell ref="I125:I126"/>
    <mergeCell ref="D199:D204"/>
    <mergeCell ref="B235:B240"/>
    <mergeCell ref="A325:A330"/>
    <mergeCell ref="C325:C330"/>
    <mergeCell ref="I171:I172"/>
    <mergeCell ref="I407:I408"/>
    <mergeCell ref="I323:I324"/>
    <mergeCell ref="I127:I128"/>
    <mergeCell ref="A367:A372"/>
    <mergeCell ref="C25:C30"/>
    <mergeCell ref="A25:A30"/>
    <mergeCell ref="G289:G294"/>
    <mergeCell ref="D355:D360"/>
    <mergeCell ref="C85:C90"/>
    <mergeCell ref="F355:F360"/>
    <mergeCell ref="A133:A138"/>
    <mergeCell ref="I387:I388"/>
    <mergeCell ref="C133:C138"/>
    <mergeCell ref="C127:C132"/>
    <mergeCell ref="I39:I40"/>
    <mergeCell ref="B259:B264"/>
    <mergeCell ref="F169:F174"/>
    <mergeCell ref="E385:E390"/>
    <mergeCell ref="A433:A438"/>
    <mergeCell ref="H283:H288"/>
    <mergeCell ref="I247:I248"/>
    <mergeCell ref="H277:H282"/>
    <mergeCell ref="B19:B24"/>
    <mergeCell ref="B217:B222"/>
    <mergeCell ref="G55:G60"/>
    <mergeCell ref="D121:D126"/>
    <mergeCell ref="F121:F126"/>
    <mergeCell ref="B319:B324"/>
    <mergeCell ref="D319:D324"/>
    <mergeCell ref="E361:E366"/>
    <mergeCell ref="G361:G366"/>
    <mergeCell ref="I49:I50"/>
    <mergeCell ref="H397:H402"/>
    <mergeCell ref="I413:I414"/>
    <mergeCell ref="I291:I292"/>
    <mergeCell ref="G211:G216"/>
    <mergeCell ref="D421:D426"/>
    <mergeCell ref="F421:F426"/>
    <mergeCell ref="C13:C18"/>
    <mergeCell ref="I113:I114"/>
    <mergeCell ref="D187:D192"/>
    <mergeCell ref="F187:F192"/>
    <mergeCell ref="I415:I416"/>
    <mergeCell ref="I293:I294"/>
    <mergeCell ref="I271:I272"/>
    <mergeCell ref="F103:F108"/>
    <mergeCell ref="C313:C318"/>
    <mergeCell ref="E313:E318"/>
    <mergeCell ref="H103:H108"/>
    <mergeCell ref="F205:F210"/>
    <mergeCell ref="B223:B228"/>
    <mergeCell ref="A349:A354"/>
    <mergeCell ref="I115:I116"/>
    <mergeCell ref="C79:C84"/>
    <mergeCell ref="E79:E84"/>
    <mergeCell ref="I273:I274"/>
    <mergeCell ref="E73:E78"/>
    <mergeCell ref="F403:F408"/>
    <mergeCell ref="H403:H408"/>
    <mergeCell ref="F55:F60"/>
    <mergeCell ref="C121:C126"/>
    <mergeCell ref="E181:E186"/>
    <mergeCell ref="B247:B252"/>
    <mergeCell ref="C379:C384"/>
    <mergeCell ref="E379:E384"/>
    <mergeCell ref="H169:H174"/>
    <mergeCell ref="G229:G234"/>
    <mergeCell ref="B13:B18"/>
    <mergeCell ref="D13:D18"/>
    <mergeCell ref="D7:D12"/>
    <mergeCell ref="G139:G144"/>
    <mergeCell ref="I191:I192"/>
    <mergeCell ref="I433:I434"/>
    <mergeCell ref="B313:B318"/>
    <mergeCell ref="D307:D312"/>
    <mergeCell ref="I199:I200"/>
    <mergeCell ref="I255:I256"/>
    <mergeCell ref="C439:C444"/>
    <mergeCell ref="A439:A444"/>
    <mergeCell ref="C433:C438"/>
    <mergeCell ref="I339:I340"/>
    <mergeCell ref="F37:F42"/>
    <mergeCell ref="D73:D78"/>
    <mergeCell ref="F73:F78"/>
    <mergeCell ref="E163:E168"/>
    <mergeCell ref="A199:A204"/>
    <mergeCell ref="C199:C204"/>
    <mergeCell ref="E199:E204"/>
    <mergeCell ref="B325:B330"/>
  </mergeCells>
  <conditionalFormatting sqref="G4:H4">
    <cfRule type="expression" priority="36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37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38" dxfId="9104">
      <formula>AND(G4&lt;&gt;"--:--",#REF!&lt;&gt;"--:--",ABS(TIMEVALUE(G4)-TIMEVALUE(#REF!))*1440&lt;30)</formula>
    </cfRule>
    <cfRule type="containsText" priority="39" operator="containsText" dxfId="9103" text="早退">
      <formula>NOT(ISERROR(SEARCH("早退",G4)))</formula>
    </cfRule>
    <cfRule type="containsText" priority="40" operator="containsText" dxfId="9102" text="迟到">
      <formula>NOT(ISERROR(SEARCH("迟到",G4)))</formula>
    </cfRule>
    <cfRule type="containsText" priority="41" operator="containsText" dxfId="9100" text="缺勤">
      <formula>NOT(ISERROR(SEARCH("缺勤",G4)))</formula>
    </cfRule>
    <cfRule type="containsText" priority="42" operator="containsText" dxfId="9100" text="旷工">
      <formula>NOT(ISERROR(SEARCH("旷工",G4)))</formula>
    </cfRule>
    <cfRule type="containsText" priority="43" operator="containsText" dxfId="9099" text="冲销">
      <formula>NOT(ISERROR(SEARCH("冲销",G4)))</formula>
    </cfRule>
    <cfRule type="containsText" priority="44" operator="containsText" dxfId="9098" text="异常打卡">
      <formula>NOT(ISERROR(SEARCH("异常打卡",G4)))</formula>
    </cfRule>
    <cfRule type="containsText" priority="45" operator="containsText" dxfId="9097" text="正常打卡">
      <formula>NOT(ISERROR(SEARCH("正常打卡",G4)))</formula>
    </cfRule>
  </conditionalFormatting>
  <conditionalFormatting sqref="F5">
    <cfRule type="expression" priority="35" dxfId="9065">
      <formula>F5&lt;F4</formula>
    </cfRule>
  </conditionalFormatting>
  <conditionalFormatting sqref="J7:L7">
    <cfRule type="expression" priority="33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N7:R7">
    <cfRule type="expression" priority="28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T7:X7">
    <cfRule type="expression" priority="25" dxfId="4514">
      <formula>AND(ISNUMBER(TIMEVALUE(LEFT(T7,FIND("(",T7&amp;"(")-1))),ISNUMBER(TIMEVALUE(LEFT(T9,FIND("(",T9&amp;"(")-1))),IF(TIMEVALUE(LEFT(T7,FIND("(",T7&amp;"(")-1))&lt;=TIME(3,59,59),TIMEVALUE(LEFT(T7,FIND("(",T7&amp;"(")-1))+1,TIMEVALUE(LEFT(T7,FIND("(",T7&amp;"(")-1)))+60/1440&lt;IF(TIMEVALUE(LEFT(T9,FIND("(",T9&amp;"(")-1))&lt;=TIME(3,59,59),TIMEVALUE(LEFT(T9,FIND("(",T9&amp;"(")-1))+1,TIMEVALUE(LEFT(T9,FIND("(",T9&amp;"(")-1))))</formula>
    </cfRule>
  </conditionalFormatting>
  <conditionalFormatting sqref="Z7:AD7">
    <cfRule type="expression" priority="22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AF7:AI7">
    <cfRule type="expression" priority="19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J8:L8">
    <cfRule type="expression" priority="34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8:R8">
    <cfRule type="expression" priority="29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T8:X8">
    <cfRule type="expression" priority="26" dxfId="4514">
      <formula>AND(ISNUMBER(TIMEVALUE(LEFT(T8,FIND("(",T8&amp;"(")-1))),ISNUMBER(TIMEVALUE(LEFT(T10,FIND("(",T10&amp;"(")-1))),IF(TIMEVALUE(LEFT(T8,FIND("(",T8&amp;"(")-1))&lt;=TIME(3,59,59),TIMEVALUE(LEFT(T8,FIND("(",T8&amp;"(")-1))+1,TIMEVALUE(LEFT(T8,FIND("(",T8&amp;"(")-1)))-60/1440&gt;IF(TIMEVALUE(LEFT(T10,FIND("(",T10&amp;"(")-1))&lt;=TIME(3,59,59),TIMEVALUE(LEFT(T10,FIND("(",T10&amp;"(")-1))+1,TIMEVALUE(LEFT(T10,FIND("(",T10&amp;"(")-1))))</formula>
    </cfRule>
  </conditionalFormatting>
  <conditionalFormatting sqref="Z8:AD8">
    <cfRule type="expression" priority="23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AF8:AI8">
    <cfRule type="expression" priority="20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F2:F4">
    <cfRule type="expression" priority="46" dxfId="9065">
      <formula>F2&lt;#REF!</formula>
    </cfRule>
  </conditionalFormatting>
  <conditionalFormatting sqref="G7:G450">
    <cfRule type="expression" priority="47" dxfId="9064">
      <formula>G11-F11&gt;0.5</formula>
    </cfRule>
  </conditionalFormatting>
  <conditionalFormatting sqref="J7:L8">
    <cfRule type="expression" priority="30" dxfId="9039">
      <formula>J9="--:--"</formula>
    </cfRule>
  </conditionalFormatting>
  <conditionalFormatting sqref="N7:R8">
    <cfRule type="expression" priority="27" dxfId="9039">
      <formula>N9="--:--"</formula>
    </cfRule>
  </conditionalFormatting>
  <conditionalFormatting sqref="T7:X8">
    <cfRule type="expression" priority="24" dxfId="9039">
      <formula>T9="--:--"</formula>
    </cfRule>
  </conditionalFormatting>
  <conditionalFormatting sqref="Z7:AD8">
    <cfRule type="expression" priority="21" dxfId="9039">
      <formula>Z9="--:--"</formula>
    </cfRule>
  </conditionalFormatting>
  <conditionalFormatting sqref="AF7:AI8">
    <cfRule type="expression" priority="18" dxfId="9039">
      <formula>AF9="--:--"</formula>
    </cfRule>
  </conditionalFormatting>
  <conditionalFormatting sqref="J13:L13 J19:L19 J25:L25 J31:L31 J37:L37 J43:L43 J49:L49 J55:L55 J61:L61 J67:L67 J73:L73 J79:L79 J85:L85 J91:L91 J97:L97 J103:L103 J109:L109 J115:L115 J121:L121 J127:L127 J133:L133 J139:L139 J145:L145 J151:L151 J157:L157 J163:L163 J169:L169 J175:L175 J181:L181 J187:L187 J193:L193 J199:L199 J205:L205 J211:L211 J217:L217 J223:L223 J229:L229 J235:L235 J241:L241 J247:L247 J253:L253 J259:L259 J265:L265 J271:L271 J277:L277 J283:L283 J289:L289 J295:L295 J301:L301 J307:L307 J313:L313 J319:L319 J325:L325 J331:L331 J337:L337 J343:L343 J349:L349 J355:L355 J361:L361 J367:L367 J373:L373 J379:L379 J385:L385 J391:L391 J397:L397 J403:L403 J409:L409 J415:L415 J421:L421 J427:L427 J433:L433 J439:L439 J445:L445">
    <cfRule type="expression" priority="16" dxfId="4514">
      <formula>AND(ISNUMBER(TIMEVALUE(LEFT(J13,FIND("(",J13&amp;"(")-1))),ISNUMBER(TIMEVALUE(LEFT(J15,FIND("(",J15&amp;"(")-1))),IF(TIMEVALUE(LEFT(J13,FIND("(",J13&amp;"(")-1))&lt;=TIME(3,59,59),TIMEVALUE(LEFT(J13,FIND("(",J13&amp;"(")-1))+1,TIMEVALUE(LEFT(J13,FIND("(",J13&amp;"(")-1)))+60/1440&lt;IF(TIMEVALUE(LEFT(J15,FIND("(",J15&amp;"(")-1))&lt;=TIME(3,59,59),TIMEVALUE(LEFT(J15,FIND("(",J15&amp;"(")-1))+1,TIMEVALUE(LEFT(J15,FIND("(",J15&amp;"(")-1))))</formula>
    </cfRule>
  </conditionalFormatting>
  <conditionalFormatting sqref="J13:L14 J19:L20 J25:L26 J31:L32 J37:L38 J43:L44 J49:L50 J55:L56 J61:L62 J67:L68 J73:L74 J79:L80 J85:L86 J91:L92 J97:L98 J103:L104 J109:L110 J115:L116 J121:L122 J127:L128 J133:L134 J139:L140 J145:L146 J151:L152 J157:L158 J163:L164 J169:L170 J175:L176 J181:L182 J187:L188 J193:L194 J199:L200 J205:L206 J211:L212 J217:L218 J223:L224 J229:L230 J235:L236 J241:L242 J247:L248 J253:L254 J259:L260 J265:L266 J271:L272 J277:L278 J283:L284 J289:L290 J295:L296 J301:L302 J307:L308 J313:L314 J319:L320 J325:L326 J331:L332 J337:L338 J343:L344 J349:L350 J355:L356 J361:L362 J367:L368 J373:L374 J379:L380 J385:L386 J391:L392 J397:L398 J403:L404 J409:L410 J415:L416 J421:L422 J427:L428 J433:L434 J439:L440 J445:L446">
    <cfRule type="expression" priority="13" dxfId="9039">
      <formula>J15="--:--"</formula>
    </cfRule>
  </conditionalFormatting>
  <conditionalFormatting sqref="N13:R13 N19:R19 N25:R25 N31:R31 N37:R37 N43:R43 N49:R49 N55:R55 N61:R61 N67:R67 N73:R73 N79:R79 N85:R85 N91:R91 N97:R97 N103:R103 N109:R109 N115:R115 N121:R121 N127:R127 N133:R133 N139:R139 N145:R145 N151:R151 N157:R157 N163:R163 N169:R169 N175:R175 N181:R181 N187:R187 N193:R193 N199:R199 N205:R205 N211:R211 N217:R217 N223:R223 N229:R229 N235:R235 N241:R241 N247:R247 N253:R253 N259:R259 N265:R265 N271:R271 N277:R277 N283:R283 N289:R289 N295:R295 N301:R301 N307:R307 N313:R313 N319:R319 N325:R325 N331:R331 N337:R337 N343:R343 N349:R349 N355:R355 N361:R361 N367:R367 N373:R373 N379:R379 N385:R385 N391:R391 N397:R397 N403:R403 N409:R409 N415:R415 N421:R421 N427:R427 N433:R433 N439:R439 N445:R445">
    <cfRule type="expression" priority="11" dxfId="4514">
      <formula>AND(ISNUMBER(TIMEVALUE(LEFT(N13,FIND("(",N13&amp;"(")-1))),ISNUMBER(TIMEVALUE(LEFT(N15,FIND("(",N15&amp;"(")-1))),IF(TIMEVALUE(LEFT(N13,FIND("(",N13&amp;"(")-1))&lt;=TIME(3,59,59),TIMEVALUE(LEFT(N13,FIND("(",N13&amp;"(")-1))+1,TIMEVALUE(LEFT(N13,FIND("(",N13&amp;"(")-1)))+60/1440&lt;IF(TIMEVALUE(LEFT(N15,FIND("(",N15&amp;"(")-1))&lt;=TIME(3,59,59),TIMEVALUE(LEFT(N15,FIND("(",N15&amp;"(")-1))+1,TIMEVALUE(LEFT(N15,FIND("(",N15&amp;"(")-1))))</formula>
    </cfRule>
  </conditionalFormatting>
  <conditionalFormatting sqref="N13:R14 N19:R20 N25:R26 N31:R32 N37:R38 N43:R44 N49:R50 N55:R56 N61:R62 N67:R68 N73:R74 N79:R80 N85:R86 N91:R92 N97:R98 N103:R104 N109:R110 N115:R116 N121:R122 N127:R128 N133:R134 N139:R140 N145:R146 N151:R152 N157:R158 N163:R164 N169:R170 N175:R176 N181:R182 N187:R188 N193:R194 N199:R200 N205:R206 N211:R212 N217:R218 N223:R224 N229:R230 N235:R236 N241:R242 N247:R248 N253:R254 N259:R260 N265:R266 N271:R272 N277:R278 N283:R284 N289:R290 N295:R296 N301:R302 N307:R308 N313:R314 N319:R320 N325:R326 N331:R332 N337:R338 N343:R344 N349:R350 N355:R356 N361:R362 N367:R368 N373:R374 N379:R380 N385:R386 N391:R392 N397:R398 N403:R404 N409:R410 N415:R416 N421:R422 N427:R428 N433:R434 N439:R440 N445:R446">
    <cfRule type="expression" priority="10" dxfId="9039">
      <formula>N15="--:--"</formula>
    </cfRule>
  </conditionalFormatting>
  <conditionalFormatting sqref="T13:X13 T19:X19 T25:X25 T31:X31 T37:X37 T43:X43 T49:X49 T55:X55 T61:X61 T67:X67 T73:X73 T79:X79 T85:X85 T91:X91 T97:X97 T103:X103 T109:X109 T115:X115 T121:X121 T127:X127 T133:X133 T139:X139 T145:X145 T151:X151 T157:X157 T163:X163 T169:X169 T175:X175 T181:X181 T187:X187 T193:X193 T199:X199 T205:X205 T211:X211 T217:X217 T223:X223 T229:X229 T235:X235 T241:X241 T247:X247 T253:X253 T259:X259 T265:X265 T271:X271 T277:X277 T283:X283 T289:X289 T295:X295 T301:X301 T307:X307 T313:X313 T319:X319 T325:X325 T331:X331 T337:X337 T343:X343 T349:X349 T355:X355 T361:X361 T367:X367 T373:X373 T379:X379 T385:X385 T391:X391 T397:X397 T403:X403 T409:X409 T415:X415 T421:X421 T427:X427 T433:X433 T439:X439 T445:X445">
    <cfRule type="expression" priority="8" dxfId="4514">
      <formula>AND(ISNUMBER(TIMEVALUE(LEFT(T13,FIND("(",T13&amp;"(")-1))),ISNUMBER(TIMEVALUE(LEFT(T15,FIND("(",T15&amp;"(")-1))),IF(TIMEVALUE(LEFT(T13,FIND("(",T13&amp;"(")-1))&lt;=TIME(3,59,59),TIMEVALUE(LEFT(T13,FIND("(",T13&amp;"(")-1))+1,TIMEVALUE(LEFT(T13,FIND("(",T13&amp;"(")-1)))+60/1440&lt;IF(TIMEVALUE(LEFT(T15,FIND("(",T15&amp;"(")-1))&lt;=TIME(3,59,59),TIMEVALUE(LEFT(T15,FIND("(",T15&amp;"(")-1))+1,TIMEVALUE(LEFT(T15,FIND("(",T15&amp;"(")-1))))</formula>
    </cfRule>
  </conditionalFormatting>
  <conditionalFormatting sqref="T13:X14 T19:X20 T25:X26 T31:X32 T37:X38 T43:X44 T49:X50 T55:X56 T61:X62 T67:X68 T73:X74 T79:X80 T85:X86 T91:X92 T97:X98 T103:X104 T109:X110 T115:X116 T121:X122 T127:X128 T133:X134 T139:X140 T145:X146 T151:X152 T157:X158 T163:X164 T169:X170 T175:X176 T181:X182 T187:X188 T193:X194 T199:X200 T205:X206 T211:X212 T217:X218 T223:X224 T229:X230 T235:X236 T241:X242 T247:X248 T253:X254 T259:X260 T265:X266 T271:X272 T277:X278 T283:X284 T289:X290 T295:X296 T301:X302 T307:X308 T313:X314 T319:X320 T325:X326 T331:X332 T337:X338 T343:X344 T349:X350 T355:X356 T361:X362 T367:X368 T373:X374 T379:X380 T385:X386 T391:X392 T397:X398 T403:X404 T409:X410 T415:X416 T421:X422 T427:X428 T433:X434 T439:X440 T445:X446">
    <cfRule type="expression" priority="7" dxfId="9039">
      <formula>T15="--:--"</formula>
    </cfRule>
  </conditionalFormatting>
  <conditionalFormatting sqref="Z13:AD13 Z19:AD19 Z25:AD25 Z31:AD31 Z37:AD37 Z43:AD43 Z49:AD49 Z55:AD55 Z61:AD61 Z67:AD67 Z73:AD73 Z79:AD79 Z85:AD85 Z91:AD91 Z97:AD97 Z103:AD103 Z109:AD109 Z115:AD115 Z121:AD121 Z127:AD127 Z133:AD133 Z139:AD139 Z145:AD145 Z151:AD151 Z157:AD157 Z163:AD163 Z169:AD169 Z175:AD175 Z181:AD181 Z187:AD187 Z193:AD193 Z199:AD199 Z205:AD205 Z211:AD211 Z217:AD217 Z223:AD223 Z229:AD229 Z235:AD235 Z241:AD241 Z247:AD247 Z253:AD253 Z259:AD259 Z265:AD265 Z271:AD271 Z277:AD277 Z283:AD283 Z289:AD289 Z295:AD295 Z301:AD301 Z307:AD307 Z313:AD313 Z319:AD319 Z325:AD325 Z331:AD331 Z337:AD337 Z343:AD343 Z349:AD349 Z355:AD355 Z361:AD361 Z367:AD367 Z373:AD373 Z379:AD379 Z385:AD385 Z391:AD391 Z397:AD397 Z403:AD403 Z409:AD409 Z415:AD415 Z421:AD421 Z427:AD427 Z433:AD433 Z439:AD439 Z445:AD445">
    <cfRule type="expression" priority="5" dxfId="4514">
      <formula>AND(ISNUMBER(TIMEVALUE(LEFT(Z13,FIND("(",Z13&amp;"(")-1))),ISNUMBER(TIMEVALUE(LEFT(Z15,FIND("(",Z15&amp;"(")-1))),IF(TIMEVALUE(LEFT(Z13,FIND("(",Z13&amp;"(")-1))&lt;=TIME(3,59,59),TIMEVALUE(LEFT(Z13,FIND("(",Z13&amp;"(")-1))+1,TIMEVALUE(LEFT(Z13,FIND("(",Z13&amp;"(")-1)))+60/1440&lt;IF(TIMEVALUE(LEFT(Z15,FIND("(",Z15&amp;"(")-1))&lt;=TIME(3,59,59),TIMEVALUE(LEFT(Z15,FIND("(",Z15&amp;"(")-1))+1,TIMEVALUE(LEFT(Z15,FIND("(",Z15&amp;"(")-1))))</formula>
    </cfRule>
  </conditionalFormatting>
  <conditionalFormatting sqref="Z13:AD14 Z19:AD20 Z25:AD26 Z31:AD32 Z37:AD38 Z43:AD44 Z49:AD50 Z55:AD56 Z61:AD62 Z67:AD68 Z73:AD74 Z79:AD80 Z85:AD86 Z91:AD92 Z97:AD98 Z103:AD104 Z109:AD110 Z115:AD116 Z121:AD122 Z127:AD128 Z133:AD134 Z139:AD140 Z145:AD146 Z151:AD152 Z157:AD158 Z163:AD164 Z169:AD170 Z175:AD176 Z181:AD182 Z187:AD188 Z193:AD194 Z199:AD200 Z205:AD206 Z211:AD212 Z217:AD218 Z223:AD224 Z229:AD230 Z235:AD236 Z241:AD242 Z247:AD248 Z253:AD254 Z259:AD260 Z265:AD266 Z271:AD272 Z277:AD278 Z283:AD284 Z289:AD290 Z295:AD296 Z301:AD302 Z307:AD308 Z313:AD314 Z319:AD320 Z325:AD326 Z331:AD332 Z337:AD338 Z343:AD344 Z349:AD350 Z355:AD356 Z361:AD362 Z367:AD368 Z373:AD374 Z379:AD380 Z385:AD386 Z391:AD392 Z397:AD398 Z403:AD404 Z409:AD410 Z415:AD416 Z421:AD422 Z427:AD428 Z433:AD434 Z439:AD440 Z445:AD446">
    <cfRule type="expression" priority="4" dxfId="9039">
      <formula>Z15="--:--"</formula>
    </cfRule>
  </conditionalFormatting>
  <conditionalFormatting sqref="AF13:AI13 AF19:AI19 AF25:AI25 AF31:AI31 AF37:AI37 AF43:AI43 AF49:AI49 AF55:AI55 AF61:AI61 AF67:AI67 AF73:AI73 AF79:AI79 AF85:AI85 AF91:AI91 AF97:AI97 AF103:AI103 AF109:AI109 AF115:AI115 AF121:AI121 AF127:AI127 AF133:AI133 AF139:AI139 AF145:AI145 AF151:AI151 AF157:AI157 AF163:AI163 AF169:AI169 AF175:AI175 AF181:AI181 AF187:AI187 AF193:AI193 AF199:AI199 AF205:AI205 AF211:AI211 AF217:AI217 AF223:AI223 AF229:AI229 AF235:AI235 AF241:AI241 AF247:AI247 AF253:AI253 AF259:AI259 AF265:AI265 AF271:AI271 AF277:AI277 AF283:AI283 AF289:AI289 AF295:AI295 AF301:AI301 AF307:AI307 AF313:AI313 AF319:AI319 AF325:AI325 AF331:AI331 AF337:AI337 AF343:AI343 AF349:AI349 AF355:AI355 AF361:AI361 AF367:AI367 AF373:AI373 AF379:AI379 AF385:AI385 AF391:AI391 AF397:AI397 AF403:AI403 AF409:AI409 AF415:AI415 AF421:AI421 AF427:AI427 AF433:AI433 AF439:AI439 AF445:AI445">
    <cfRule type="expression" priority="2" dxfId="4514">
      <formula>AND(ISNUMBER(TIMEVALUE(LEFT(AF13,FIND("(",AF13&amp;"(")-1))),ISNUMBER(TIMEVALUE(LEFT(AF15,FIND("(",AF15&amp;"(")-1))),IF(TIMEVALUE(LEFT(AF13,FIND("(",AF13&amp;"(")-1))&lt;=TIME(3,59,59),TIMEVALUE(LEFT(AF13,FIND("(",AF13&amp;"(")-1))+1,TIMEVALUE(LEFT(AF13,FIND("(",AF13&amp;"(")-1)))+60/1440&lt;IF(TIMEVALUE(LEFT(AF15,FIND("(",AF15&amp;"(")-1))&lt;=TIME(3,59,59),TIMEVALUE(LEFT(AF15,FIND("(",AF15&amp;"(")-1))+1,TIMEVALUE(LEFT(AF15,FIND("(",AF15&amp;"(")-1))))</formula>
    </cfRule>
  </conditionalFormatting>
  <conditionalFormatting sqref="AF13:AI14 AF19:AI20 AF25:AI26 AF31:AI32 AF37:AI38 AF43:AI44 AF49:AI50 AF55:AI56 AF61:AI62 AF67:AI68 AF73:AI74 AF79:AI80 AF85:AI86 AF91:AI92 AF97:AI98 AF103:AI104 AF109:AI110 AF115:AI116 AF121:AI122 AF127:AI128 AF133:AI134 AF139:AI140 AF145:AI146 AF151:AI152 AF157:AI158 AF163:AI164 AF169:AI170 AF175:AI176 AF181:AI182 AF187:AI188 AF193:AI194 AF199:AI200 AF205:AI206 AF211:AI212 AF217:AI218 AF223:AI224 AF229:AI230 AF235:AI236 AF241:AI242 AF247:AI248 AF253:AI254 AF259:AI260 AF265:AI266 AF271:AI272 AF277:AI278 AF283:AI284 AF289:AI290 AF295:AI296 AF301:AI302 AF307:AI308 AF313:AI314 AF319:AI320 AF325:AI326 AF331:AI332 AF337:AI338 AF343:AI344 AF349:AI350 AF355:AI356 AF361:AI362 AF367:AI368 AF373:AI374 AF379:AI380 AF385:AI386 AF391:AI392 AF397:AI398 AF403:AI404 AF409:AI410 AF415:AI416 AF421:AI422 AF427:AI428 AF433:AI434 AF439:AI440 AF445:AI446">
    <cfRule type="expression" priority="1" dxfId="9039">
      <formula>AF15="--:--"</formula>
    </cfRule>
  </conditionalFormatting>
  <conditionalFormatting sqref="J14:L14 J20:L20 J26:L26 J32:L32 J38:L38 J44:L44 J50:L50 J56:L56 J62:L62 J68:L68 J74:L74 J80:L80 J86:L86 J92:L92 J98:L98 J104:L104 J110:L110 J116:L116 J122:L122 J128:L128 J134:L134 J140:L140 J146:L146 J152:L152 J158:L158 J164:L164 J170:L170 J176:L176 J182:L182 J188:L188 J194:L194 J200:L200 J206:L206 J212:L212 J218:L218 J224:L224 J230:L230 J236:L236 J242:L242 J248:L248 J254:L254 J260:L260 J266:L266 J272:L272 J278:L278 J284:L284 J290:L290 J296:L296 J302:L302 J308:L308 J314:L314 J320:L320 J326:L326 J332:L332 J338:L338 J344:L344 J350:L350 J356:L356 J362:L362 J368:L368 J374:L374 J380:L380 J386:L386 J392:L392 J398:L398 J404:L404 J410:L410 J416:L416 J422:L422 J428:L428 J434:L434 J440:L440 J446:L446">
    <cfRule type="expression" priority="17" dxfId="4514">
      <formula>AND(ISNUMBER(TIMEVALUE(LEFT(J14,FIND("(",J14&amp;"(")-1))),ISNUMBER(TIMEVALUE(LEFT(J16,FIND("(",J16&amp;"(")-1))),IF(TIMEVALUE(LEFT(J14,FIND("(",J14&amp;"(")-1))&lt;=TIME(3,59,59),TIMEVALUE(LEFT(J14,FIND("(",J14&amp;"(")-1))+1,TIMEVALUE(LEFT(J14,FIND("(",J14&amp;"(")-1)))-60/1440&gt;IF(TIMEVALUE(LEFT(J16,FIND("(",J16&amp;"(")-1))&lt;=TIME(3,59,59),TIMEVALUE(LEFT(J16,FIND("(",J16&amp;"(")-1))+1,TIMEVALUE(LEFT(J16,FIND("(",J16&amp;"(")-1))))</formula>
    </cfRule>
  </conditionalFormatting>
  <conditionalFormatting sqref="N14:R14 N20:R20 N26:R26 N32:R32 N38:R38 N44:R44 N50:R50 N56:R56 N62:R62 N68:R68 N74:R74 N80:R80 N86:R86 N92:R92 N98:R98 N104:R104 N110:R110 N116:R116 N122:R122 N128:R128 N134:R134 N140:R140 N146:R146 N152:R152 N158:R158 N164:R164 N170:R170 N176:R176 N182:R182 N188:R188 N194:R194 N200:R200 N206:R206 N212:R212 N218:R218 N224:R224 N230:R230 N236:R236 N242:R242 N248:R248 N254:R254 N260:R260 N266:R266 N272:R272 N278:R278 N284:R284 N290:R290 N296:R296 N302:R302 N308:R308 N314:R314 N320:R320 N326:R326 N332:R332 N338:R338 N344:R344 N350:R350 N356:R356 N362:R362 N368:R368 N374:R374 N380:R380 N386:R386 N392:R392 N398:R398 N404:R404 N410:R410 N416:R416 N422:R422 N428:R428 N434:R434 N440:R440 N446:R446">
    <cfRule type="expression" priority="12" dxfId="4514">
      <formula>AND(ISNUMBER(TIMEVALUE(LEFT(N14,FIND("(",N14&amp;"(")-1))),ISNUMBER(TIMEVALUE(LEFT(N16,FIND("(",N16&amp;"(")-1))),IF(TIMEVALUE(LEFT(N14,FIND("(",N14&amp;"(")-1))&lt;=TIME(3,59,59),TIMEVALUE(LEFT(N14,FIND("(",N14&amp;"(")-1))+1,TIMEVALUE(LEFT(N14,FIND("(",N14&amp;"(")-1)))-60/1440&gt;IF(TIMEVALUE(LEFT(N16,FIND("(",N16&amp;"(")-1))&lt;=TIME(3,59,59),TIMEVALUE(LEFT(N16,FIND("(",N16&amp;"(")-1))+1,TIMEVALUE(LEFT(N16,FIND("(",N16&amp;"(")-1))))</formula>
    </cfRule>
  </conditionalFormatting>
  <conditionalFormatting sqref="T14:X14 T20:X20 T26:X26 T32:X32 T38:X38 T44:X44 T50:X50 T56:X56 T62:X62 T68:X68 T74:X74 T80:X80 T86:X86 T92:X92 T98:X98 T104:X104 T110:X110 T116:X116 T122:X122 T128:X128 T134:X134 T140:X140 T146:X146 T152:X152 T158:X158 T164:X164 T170:X170 T176:X176 T182:X182 T188:X188 T194:X194 T200:X200 T206:X206 T212:X212 T218:X218 T224:X224 T230:X230 T236:X236 T242:X242 T248:X248 T254:X254 T260:X260 T266:X266 T272:X272 T278:X278 T284:X284 T290:X290 T296:X296 T302:X302 T308:X308 T314:X314 T320:X320 T326:X326 T332:X332 T338:X338 T344:X344 T350:X350 T356:X356 T362:X362 T368:X368 T374:X374 T380:X380 T386:X386 T392:X392 T398:X398 T404:X404 T410:X410 T416:X416 T422:X422 T428:X428 T434:X434 T440:X440 T446:X446">
    <cfRule type="expression" priority="9" dxfId="4514">
      <formula>AND(ISNUMBER(TIMEVALUE(LEFT(T14,FIND("(",T14&amp;"(")-1))),ISNUMBER(TIMEVALUE(LEFT(T16,FIND("(",T16&amp;"(")-1))),IF(TIMEVALUE(LEFT(T14,FIND("(",T14&amp;"(")-1))&lt;=TIME(3,59,59),TIMEVALUE(LEFT(T14,FIND("(",T14&amp;"(")-1))+1,TIMEVALUE(LEFT(T14,FIND("(",T14&amp;"(")-1)))-60/1440&gt;IF(TIMEVALUE(LEFT(T16,FIND("(",T16&amp;"(")-1))&lt;=TIME(3,59,59),TIMEVALUE(LEFT(T16,FIND("(",T16&amp;"(")-1))+1,TIMEVALUE(LEFT(T16,FIND("(",T16&amp;"(")-1))))</formula>
    </cfRule>
  </conditionalFormatting>
  <conditionalFormatting sqref="Z14:AD14 Z20:AD20 Z26:AD26 Z32:AD32 Z38:AD38 Z44:AD44 Z50:AD50 Z56:AD56 Z62:AD62 Z68:AD68 Z74:AD74 Z80:AD80 Z86:AD86 Z92:AD92 Z98:AD98 Z104:AD104 Z110:AD110 Z116:AD116 Z122:AD122 Z128:AD128 Z134:AD134 Z140:AD140 Z146:AD146 Z152:AD152 Z158:AD158 Z164:AD164 Z170:AD170 Z176:AD176 Z182:AD182 Z188:AD188 Z194:AD194 Z200:AD200 Z206:AD206 Z212:AD212 Z218:AD218 Z224:AD224 Z230:AD230 Z236:AD236 Z242:AD242 Z248:AD248 Z254:AD254 Z260:AD260 Z266:AD266 Z272:AD272 Z278:AD278 Z284:AD284 Z290:AD290 Z296:AD296 Z302:AD302 Z308:AD308 Z314:AD314 Z320:AD320 Z326:AD326 Z332:AD332 Z338:AD338 Z344:AD344 Z350:AD350 Z356:AD356 Z362:AD362 Z368:AD368 Z374:AD374 Z380:AD380 Z386:AD386 Z392:AD392 Z398:AD398 Z404:AD404 Z410:AD410 Z416:AD416 Z422:AD422 Z428:AD428 Z434:AD434 Z440:AD440 Z446:AD446">
    <cfRule type="expression" priority="6" dxfId="4514">
      <formula>AND(ISNUMBER(TIMEVALUE(LEFT(Z14,FIND("(",Z14&amp;"(")-1))),ISNUMBER(TIMEVALUE(LEFT(Z16,FIND("(",Z16&amp;"(")-1))),IF(TIMEVALUE(LEFT(Z14,FIND("(",Z14&amp;"(")-1))&lt;=TIME(3,59,59),TIMEVALUE(LEFT(Z14,FIND("(",Z14&amp;"(")-1))+1,TIMEVALUE(LEFT(Z14,FIND("(",Z14&amp;"(")-1)))-60/1440&gt;IF(TIMEVALUE(LEFT(Z16,FIND("(",Z16&amp;"(")-1))&lt;=TIME(3,59,59),TIMEVALUE(LEFT(Z16,FIND("(",Z16&amp;"(")-1))+1,TIMEVALUE(LEFT(Z16,FIND("(",Z16&amp;"(")-1))))</formula>
    </cfRule>
  </conditionalFormatting>
  <conditionalFormatting sqref="AF14:AI14 AF20:AI20 AF26:AI26 AF32:AI32 AF38:AI38 AF44:AI44 AF50:AI50 AF56:AI56 AF62:AI62 AF68:AI68 AF74:AI74 AF80:AI80 AF86:AI86 AF92:AI92 AF98:AI98 AF104:AI104 AF110:AI110 AF116:AI116 AF122:AI122 AF128:AI128 AF134:AI134 AF140:AI140 AF146:AI146 AF152:AI152 AF158:AI158 AF164:AI164 AF170:AI170 AF176:AI176 AF182:AI182 AF188:AI188 AF194:AI194 AF200:AI200 AF206:AI206 AF212:AI212 AF218:AI218 AF224:AI224 AF230:AI230 AF236:AI236 AF242:AI242 AF248:AI248 AF254:AI254 AF260:AI260 AF266:AI266 AF272:AI272 AF278:AI278 AF284:AI284 AF290:AI290 AF296:AI296 AF302:AI302 AF308:AI308 AF314:AI314 AF320:AI320 AF326:AI326 AF332:AI332 AF338:AI338 AF344:AI344 AF350:AI350 AF356:AI356 AF362:AI362 AF368:AI368 AF374:AI374 AF380:AI380 AF386:AI386 AF392:AI392 AF398:AI398 AF404:AI404 AF410:AI410 AF416:AI416 AF422:AI422 AF428:AI428 AF434:AI434 AF440:AI440 AF446:AI446">
    <cfRule type="expression" priority="3" dxfId="4514">
      <formula>AND(ISNUMBER(TIMEVALUE(LEFT(AF14,FIND("(",AF14&amp;"(")-1))),ISNUMBER(TIMEVALUE(LEFT(AF16,FIND("(",AF16&amp;"(")-1))),IF(TIMEVALUE(LEFT(AF14,FIND("(",AF14&amp;"(")-1))&lt;=TIME(3,59,59),TIMEVALUE(LEFT(AF14,FIND("(",AF14&amp;"(")-1))+1,TIMEVALUE(LEFT(AF14,FIND("(",AF14&amp;"(")-1)))-60/1440&gt;IF(TIMEVALUE(LEFT(AF16,FIND("(",AF16&amp;"(")-1))&lt;=TIME(3,59,59),TIMEVALUE(LEFT(AF16,FIND("(",AF16&amp;"(")-1))+1,TIMEVALUE(LEFT(AF16,FIND("(",AF16&amp;"(")-1))))</formula>
    </cfRule>
  </conditionalFormatting>
  <pageMargins left="0.25" right="0.25" top="0.75" bottom="0.75" header="0.3" footer="0.3"/>
  <pageSetup orientation="landscape" paperSize="77" scale="37" fitToHeight="22"/>
</worksheet>
</file>

<file path=xl/worksheets/sheet3.xml><?xml version="1.0" encoding="utf-8"?>
<worksheet xmlns="http://schemas.openxmlformats.org/spreadsheetml/2006/main">
  <sheetPr codeName="Sheet6">
    <outlinePr summaryBelow="0"/>
    <pageSetUpPr fitToPage="1"/>
  </sheetPr>
  <dimension ref="A1:AI216"/>
  <sheetViews>
    <sheetView workbookViewId="0">
      <pane ySplit="6" topLeftCell="A194" activePane="bottomLeft" state="frozen"/>
      <selection pane="bottomLeft" activeCell="I31" sqref="I31:AI216"/>
    </sheetView>
  </sheetViews>
  <sheetFormatPr baseColWidth="10" defaultColWidth="9.1640625" defaultRowHeight="14"/>
  <cols>
    <col width="9.5" customWidth="1" style="129" min="2" max="2"/>
    <col width="15.5" customWidth="1" style="129" min="4" max="4"/>
    <col width="16.1640625" customWidth="1" style="129" min="5" max="5"/>
    <col width="20" customWidth="1" style="129" min="6" max="8"/>
    <col width="14.1640625" customWidth="1" style="129" min="9" max="9"/>
    <col width="11.1640625" customWidth="1" style="129" min="10" max="35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</row>
    <row r="4" ht="14" customHeight="1" s="129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31" t="n">
        <v>4</v>
      </c>
      <c r="K4" s="131" t="n">
        <v>5</v>
      </c>
      <c r="L4" s="131" t="n">
        <v>6</v>
      </c>
      <c r="M4" s="132" t="inlineStr">
        <is>
          <t>周末/假期</t>
        </is>
      </c>
      <c r="N4" s="131" t="n">
        <v>2</v>
      </c>
      <c r="O4" s="131" t="n">
        <v>3</v>
      </c>
      <c r="P4" s="131" t="n">
        <v>4</v>
      </c>
      <c r="Q4" s="131" t="n">
        <v>5</v>
      </c>
      <c r="R4" s="131" t="n">
        <v>6</v>
      </c>
      <c r="S4" s="132" t="inlineStr">
        <is>
          <t>周末/假期</t>
        </is>
      </c>
      <c r="T4" s="131" t="n">
        <v>2</v>
      </c>
      <c r="U4" s="131" t="n">
        <v>3</v>
      </c>
      <c r="V4" s="131" t="n">
        <v>4</v>
      </c>
      <c r="W4" s="131" t="n">
        <v>5</v>
      </c>
      <c r="X4" s="131" t="n">
        <v>6</v>
      </c>
      <c r="Y4" s="132" t="inlineStr">
        <is>
          <t>周末/假期</t>
        </is>
      </c>
      <c r="Z4" s="131" t="n">
        <v>2</v>
      </c>
      <c r="AA4" s="131" t="n">
        <v>3</v>
      </c>
      <c r="AB4" s="131" t="n">
        <v>4</v>
      </c>
      <c r="AC4" s="131" t="n">
        <v>5</v>
      </c>
      <c r="AD4" s="131" t="n">
        <v>6</v>
      </c>
      <c r="AE4" s="132" t="inlineStr">
        <is>
          <t>周末/假期</t>
        </is>
      </c>
      <c r="AF4" s="131" t="n">
        <v>2</v>
      </c>
      <c r="AG4" s="131" t="n">
        <v>3</v>
      </c>
      <c r="AH4" s="131" t="n">
        <v>4</v>
      </c>
      <c r="AI4" s="131" t="n">
        <v>5</v>
      </c>
    </row>
    <row r="5" ht="39" customHeight="1" s="129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46113</v>
      </c>
      <c r="K5" s="134" t="n">
        <v>46114</v>
      </c>
      <c r="L5" s="134" t="n">
        <v>46115</v>
      </c>
      <c r="N5" s="134" t="n">
        <v>46118</v>
      </c>
      <c r="O5" s="134" t="n">
        <v>46119</v>
      </c>
      <c r="P5" s="134" t="n">
        <v>46120</v>
      </c>
      <c r="Q5" s="134" t="n">
        <v>46121</v>
      </c>
      <c r="R5" s="134" t="n">
        <v>46122</v>
      </c>
      <c r="T5" s="134" t="n">
        <v>46125</v>
      </c>
      <c r="U5" s="134" t="n">
        <v>46126</v>
      </c>
      <c r="V5" s="134" t="n">
        <v>46127</v>
      </c>
      <c r="W5" s="134" t="n">
        <v>46128</v>
      </c>
      <c r="X5" s="134" t="n">
        <v>46129</v>
      </c>
      <c r="Z5" s="134" t="n">
        <v>46132</v>
      </c>
      <c r="AA5" s="134" t="n">
        <v>46133</v>
      </c>
      <c r="AB5" s="134" t="n">
        <v>46134</v>
      </c>
      <c r="AC5" s="134" t="n">
        <v>46135</v>
      </c>
      <c r="AD5" s="134" t="n">
        <v>46136</v>
      </c>
      <c r="AF5" s="134" t="n">
        <v>46139</v>
      </c>
      <c r="AG5" s="134" t="n">
        <v>46140</v>
      </c>
      <c r="AH5" s="134" t="n">
        <v>46141</v>
      </c>
      <c r="AI5" s="134" t="n">
        <v>46142</v>
      </c>
    </row>
    <row r="6" ht="16" customHeight="1" s="129">
      <c r="A6" s="167" t="inlineStr">
        <is>
          <t>集团职能</t>
        </is>
      </c>
      <c r="B6" s="168" t="n"/>
      <c r="C6" s="168" t="n"/>
      <c r="D6" s="168" t="n"/>
      <c r="E6" s="168" t="n"/>
      <c r="F6" s="168" t="n"/>
      <c r="G6" s="168" t="n"/>
      <c r="H6" s="168" t="n"/>
      <c r="I6" s="168" t="n"/>
      <c r="J6" s="168" t="n"/>
      <c r="K6" s="168" t="n"/>
      <c r="L6" s="168" t="n"/>
      <c r="M6" s="168" t="n"/>
      <c r="N6" s="168" t="n"/>
      <c r="O6" s="168" t="n"/>
      <c r="P6" s="168" t="n"/>
      <c r="Q6" s="168" t="n"/>
      <c r="R6" s="168" t="n"/>
      <c r="S6" s="168" t="n"/>
      <c r="T6" s="168" t="n"/>
      <c r="U6" s="168" t="n"/>
      <c r="V6" s="168" t="n"/>
      <c r="W6" s="168" t="n"/>
      <c r="X6" s="168" t="n"/>
      <c r="Y6" s="168" t="n"/>
      <c r="Z6" s="168" t="n"/>
      <c r="AA6" s="168" t="n"/>
      <c r="AB6" s="168" t="n"/>
      <c r="AC6" s="168" t="n"/>
      <c r="AD6" s="168" t="n"/>
      <c r="AE6" s="168" t="n"/>
      <c r="AF6" s="168" t="n"/>
      <c r="AG6" s="168" t="n"/>
      <c r="AH6" s="168" t="n"/>
      <c r="AI6" s="169" t="n"/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</sheetData>
  <mergeCells count="390">
    <mergeCell ref="I197:I198"/>
    <mergeCell ref="H91:H96"/>
    <mergeCell ref="B91:B96"/>
    <mergeCell ref="B25:B30"/>
    <mergeCell ref="I57:I58"/>
    <mergeCell ref="A61:A66"/>
    <mergeCell ref="H157:H162"/>
    <mergeCell ref="I121:I122"/>
    <mergeCell ref="B157:B162"/>
    <mergeCell ref="B151:B156"/>
    <mergeCell ref="D151:D156"/>
    <mergeCell ref="I123:I124"/>
    <mergeCell ref="I187:I188"/>
    <mergeCell ref="H19:H24"/>
    <mergeCell ref="C181:C186"/>
    <mergeCell ref="H37:H42"/>
    <mergeCell ref="F61:F66"/>
    <mergeCell ref="G163:G168"/>
    <mergeCell ref="E187:E192"/>
    <mergeCell ref="B79:B84"/>
    <mergeCell ref="D79:D84"/>
    <mergeCell ref="I213:I214"/>
    <mergeCell ref="I151:I152"/>
    <mergeCell ref="H43:H48"/>
    <mergeCell ref="I7:I8"/>
    <mergeCell ref="C49:C54"/>
    <mergeCell ref="G169:G174"/>
    <mergeCell ref="B145:B150"/>
    <mergeCell ref="I215:I216"/>
    <mergeCell ref="I71:I72"/>
    <mergeCell ref="D145:D150"/>
    <mergeCell ref="D139:D144"/>
    <mergeCell ref="F139:F144"/>
    <mergeCell ref="I73:I74"/>
    <mergeCell ref="C115:C120"/>
    <mergeCell ref="C31:C36"/>
    <mergeCell ref="E31:E36"/>
    <mergeCell ref="E97:E102"/>
    <mergeCell ref="B163:B168"/>
    <mergeCell ref="C91:C96"/>
    <mergeCell ref="I149:I150"/>
    <mergeCell ref="I195:I196"/>
    <mergeCell ref="I189:I190"/>
    <mergeCell ref="I139:I140"/>
    <mergeCell ref="B31:B36"/>
    <mergeCell ref="D31:D36"/>
    <mergeCell ref="A157:A162"/>
    <mergeCell ref="C157:C162"/>
    <mergeCell ref="I203:I204"/>
    <mergeCell ref="E151:E156"/>
    <mergeCell ref="F193:F198"/>
    <mergeCell ref="H193:H198"/>
    <mergeCell ref="E19:E24"/>
    <mergeCell ref="G19:G24"/>
    <mergeCell ref="F145:F150"/>
    <mergeCell ref="B181:B186"/>
    <mergeCell ref="G37:G42"/>
    <mergeCell ref="I79:I80"/>
    <mergeCell ref="A175:A180"/>
    <mergeCell ref="I23:I24"/>
    <mergeCell ref="E85:E90"/>
    <mergeCell ref="G85:G90"/>
    <mergeCell ref="I81:I82"/>
    <mergeCell ref="I137:I138"/>
    <mergeCell ref="D211:D216"/>
    <mergeCell ref="F211:F216"/>
    <mergeCell ref="B49:B54"/>
    <mergeCell ref="I89:I90"/>
    <mergeCell ref="D19:D24"/>
    <mergeCell ref="E109:E114"/>
    <mergeCell ref="C145:C150"/>
    <mergeCell ref="I105:I106"/>
    <mergeCell ref="E145:E150"/>
    <mergeCell ref="E139:E144"/>
    <mergeCell ref="B115:B120"/>
    <mergeCell ref="I163:I164"/>
    <mergeCell ref="D115:D120"/>
    <mergeCell ref="A7:A12"/>
    <mergeCell ref="I165:I166"/>
    <mergeCell ref="I21:I22"/>
    <mergeCell ref="I211:I212"/>
    <mergeCell ref="B37:B42"/>
    <mergeCell ref="H61:H66"/>
    <mergeCell ref="D97:D102"/>
    <mergeCell ref="A163:A168"/>
    <mergeCell ref="F97:F102"/>
    <mergeCell ref="C163:C168"/>
    <mergeCell ref="G187:G192"/>
    <mergeCell ref="I69:I70"/>
    <mergeCell ref="Y4:Y5"/>
    <mergeCell ref="G109:G114"/>
    <mergeCell ref="E193:E198"/>
    <mergeCell ref="G193:G198"/>
    <mergeCell ref="I145:I146"/>
    <mergeCell ref="A127:A132"/>
    <mergeCell ref="B169:B174"/>
    <mergeCell ref="I95:I96"/>
    <mergeCell ref="F19:F24"/>
    <mergeCell ref="I209:I210"/>
    <mergeCell ref="I147:I148"/>
    <mergeCell ref="I159:I160"/>
    <mergeCell ref="I97:I98"/>
    <mergeCell ref="E55:E60"/>
    <mergeCell ref="I17:I18"/>
    <mergeCell ref="H49:H54"/>
    <mergeCell ref="F85:F90"/>
    <mergeCell ref="H85:H90"/>
    <mergeCell ref="G175:G180"/>
    <mergeCell ref="C211:C216"/>
    <mergeCell ref="E211:E216"/>
    <mergeCell ref="B103:B108"/>
    <mergeCell ref="I173:I174"/>
    <mergeCell ref="I29:I30"/>
    <mergeCell ref="D103:D108"/>
    <mergeCell ref="B205:B210"/>
    <mergeCell ref="D205:D210"/>
    <mergeCell ref="I31:I32"/>
    <mergeCell ref="B55:B60"/>
    <mergeCell ref="D55:D60"/>
    <mergeCell ref="A121:A126"/>
    <mergeCell ref="A181:A186"/>
    <mergeCell ref="A115:A120"/>
    <mergeCell ref="D169:D174"/>
    <mergeCell ref="I45:I46"/>
    <mergeCell ref="F175:F180"/>
    <mergeCell ref="H175:H180"/>
    <mergeCell ref="B7:B12"/>
    <mergeCell ref="I85:I86"/>
    <mergeCell ref="E67:E72"/>
    <mergeCell ref="A103:A108"/>
    <mergeCell ref="G67:G72"/>
    <mergeCell ref="C103:C108"/>
    <mergeCell ref="G61:G66"/>
    <mergeCell ref="C97:C102"/>
    <mergeCell ref="B73:B78"/>
    <mergeCell ref="I167:I168"/>
    <mergeCell ref="I161:I162"/>
    <mergeCell ref="G127:G132"/>
    <mergeCell ref="F109:F114"/>
    <mergeCell ref="H109:H114"/>
    <mergeCell ref="I19:I20"/>
    <mergeCell ref="F157:F162"/>
    <mergeCell ref="I179:I180"/>
    <mergeCell ref="G43:G48"/>
    <mergeCell ref="A49:A54"/>
    <mergeCell ref="I103:I104"/>
    <mergeCell ref="I53:I54"/>
    <mergeCell ref="I47:I48"/>
    <mergeCell ref="A187:A192"/>
    <mergeCell ref="C187:C192"/>
    <mergeCell ref="A205:A210"/>
    <mergeCell ref="C205:C210"/>
    <mergeCell ref="E205:E210"/>
    <mergeCell ref="I111:I112"/>
    <mergeCell ref="A55:A60"/>
    <mergeCell ref="H7:H12"/>
    <mergeCell ref="D43:D48"/>
    <mergeCell ref="F43:F48"/>
    <mergeCell ref="E133:E138"/>
    <mergeCell ref="G133:G138"/>
    <mergeCell ref="C169:C174"/>
    <mergeCell ref="I63:I64"/>
    <mergeCell ref="E169:E174"/>
    <mergeCell ref="I169:I170"/>
    <mergeCell ref="B139:B144"/>
    <mergeCell ref="D67:D72"/>
    <mergeCell ref="I27:I28"/>
    <mergeCell ref="F67:F72"/>
    <mergeCell ref="A31:A36"/>
    <mergeCell ref="C37:C42"/>
    <mergeCell ref="I91:I92"/>
    <mergeCell ref="A73:A78"/>
    <mergeCell ref="F25:F30"/>
    <mergeCell ref="H25:H30"/>
    <mergeCell ref="I41:I42"/>
    <mergeCell ref="F133:F138"/>
    <mergeCell ref="F127:F132"/>
    <mergeCell ref="H127:H132"/>
    <mergeCell ref="I205:I206"/>
    <mergeCell ref="C55:C60"/>
    <mergeCell ref="G121:G126"/>
    <mergeCell ref="I117:I118"/>
    <mergeCell ref="E157:E162"/>
    <mergeCell ref="I55:I56"/>
    <mergeCell ref="A151:A156"/>
    <mergeCell ref="I59:I60"/>
    <mergeCell ref="F13:F18"/>
    <mergeCell ref="I119:I120"/>
    <mergeCell ref="D193:D198"/>
    <mergeCell ref="H13:H18"/>
    <mergeCell ref="M4:M5"/>
    <mergeCell ref="I183:I184"/>
    <mergeCell ref="E37:E42"/>
    <mergeCell ref="I185:I186"/>
    <mergeCell ref="H181:H186"/>
    <mergeCell ref="A79:A84"/>
    <mergeCell ref="E13:E18"/>
    <mergeCell ref="G13:G18"/>
    <mergeCell ref="G7:G12"/>
    <mergeCell ref="I201:I202"/>
    <mergeCell ref="H133:H138"/>
    <mergeCell ref="I43:I44"/>
    <mergeCell ref="I67:I68"/>
    <mergeCell ref="C109:C114"/>
    <mergeCell ref="A145:A150"/>
    <mergeCell ref="A139:A144"/>
    <mergeCell ref="C139:C144"/>
    <mergeCell ref="I51:I52"/>
    <mergeCell ref="I107:I108"/>
    <mergeCell ref="G73:G78"/>
    <mergeCell ref="F199:F204"/>
    <mergeCell ref="H199:H204"/>
    <mergeCell ref="I207:I208"/>
    <mergeCell ref="AE4:AE5"/>
    <mergeCell ref="E25:E30"/>
    <mergeCell ref="E91:E96"/>
    <mergeCell ref="G91:G96"/>
    <mergeCell ref="G25:G30"/>
    <mergeCell ref="B97:B102"/>
    <mergeCell ref="I87:I88"/>
    <mergeCell ref="G151:G156"/>
    <mergeCell ref="H121:H126"/>
    <mergeCell ref="B121:B126"/>
    <mergeCell ref="A6:AI6"/>
    <mergeCell ref="A193:A198"/>
    <mergeCell ref="C193:C198"/>
    <mergeCell ref="H187:H192"/>
    <mergeCell ref="B187:B192"/>
    <mergeCell ref="D37:D42"/>
    <mergeCell ref="G79:G84"/>
    <mergeCell ref="I153:I154"/>
    <mergeCell ref="I9:I10"/>
    <mergeCell ref="F49:F54"/>
    <mergeCell ref="B85:B90"/>
    <mergeCell ref="I77:I78"/>
    <mergeCell ref="I133:I134"/>
    <mergeCell ref="I11:I12"/>
    <mergeCell ref="D85:D90"/>
    <mergeCell ref="A211:A216"/>
    <mergeCell ref="B193:B198"/>
    <mergeCell ref="I75:I76"/>
    <mergeCell ref="I135:I136"/>
    <mergeCell ref="H205:H210"/>
    <mergeCell ref="I181:I182"/>
    <mergeCell ref="E43:E48"/>
    <mergeCell ref="H31:H36"/>
    <mergeCell ref="G157:G162"/>
    <mergeCell ref="H73:H78"/>
    <mergeCell ref="I37:I38"/>
    <mergeCell ref="G199:G204"/>
    <mergeCell ref="B175:B180"/>
    <mergeCell ref="D175:D180"/>
    <mergeCell ref="D91:D96"/>
    <mergeCell ref="F91:F96"/>
    <mergeCell ref="C67:C72"/>
    <mergeCell ref="C61:C66"/>
    <mergeCell ref="E61:E66"/>
    <mergeCell ref="A97:A102"/>
    <mergeCell ref="I65:I66"/>
    <mergeCell ref="D157:D162"/>
    <mergeCell ref="F151:F156"/>
    <mergeCell ref="H151:H156"/>
    <mergeCell ref="I129:I130"/>
    <mergeCell ref="E127:E132"/>
    <mergeCell ref="B109:B114"/>
    <mergeCell ref="D109:D114"/>
    <mergeCell ref="H55:H60"/>
    <mergeCell ref="G145:G150"/>
    <mergeCell ref="I141:I142"/>
    <mergeCell ref="G181:G186"/>
    <mergeCell ref="I25:I26"/>
    <mergeCell ref="B61:B66"/>
    <mergeCell ref="D61:D66"/>
    <mergeCell ref="I83:I84"/>
    <mergeCell ref="I143:I144"/>
    <mergeCell ref="I155:I156"/>
    <mergeCell ref="G97:G102"/>
    <mergeCell ref="I93:I94"/>
    <mergeCell ref="D163:D168"/>
    <mergeCell ref="F79:F84"/>
    <mergeCell ref="H79:H84"/>
    <mergeCell ref="C43:C48"/>
    <mergeCell ref="I157:I158"/>
    <mergeCell ref="I13:I14"/>
    <mergeCell ref="A91:A96"/>
    <mergeCell ref="S4:S5"/>
    <mergeCell ref="E49:E54"/>
    <mergeCell ref="A85:A90"/>
    <mergeCell ref="G49:G54"/>
    <mergeCell ref="A109:A114"/>
    <mergeCell ref="B211:B216"/>
    <mergeCell ref="H145:H150"/>
    <mergeCell ref="I109:I110"/>
    <mergeCell ref="H139:H144"/>
    <mergeCell ref="E115:E120"/>
    <mergeCell ref="G115:G120"/>
    <mergeCell ref="C151:C156"/>
    <mergeCell ref="G31:G36"/>
    <mergeCell ref="F7:F12"/>
    <mergeCell ref="B43:B48"/>
    <mergeCell ref="A169:A174"/>
    <mergeCell ref="D49:D54"/>
    <mergeCell ref="I131:I132"/>
    <mergeCell ref="C175:C180"/>
    <mergeCell ref="F163:F168"/>
    <mergeCell ref="B67:B72"/>
    <mergeCell ref="F31:F36"/>
    <mergeCell ref="D25:D30"/>
    <mergeCell ref="I35:I36"/>
    <mergeCell ref="B127:B132"/>
    <mergeCell ref="I193:I194"/>
    <mergeCell ref="D127:D132"/>
    <mergeCell ref="I99:I100"/>
    <mergeCell ref="I15:I16"/>
    <mergeCell ref="A19:A24"/>
    <mergeCell ref="C19:C24"/>
    <mergeCell ref="I101:I102"/>
    <mergeCell ref="E121:E126"/>
    <mergeCell ref="E175:E180"/>
    <mergeCell ref="H211:H216"/>
    <mergeCell ref="I175:I176"/>
    <mergeCell ref="E103:E108"/>
    <mergeCell ref="G103:G108"/>
    <mergeCell ref="I177:I178"/>
    <mergeCell ref="I33:I34"/>
    <mergeCell ref="G205:G210"/>
    <mergeCell ref="A37:A42"/>
    <mergeCell ref="H163:H168"/>
    <mergeCell ref="D181:D186"/>
    <mergeCell ref="F181:F186"/>
    <mergeCell ref="F115:F120"/>
    <mergeCell ref="H115:H120"/>
    <mergeCell ref="A13:A18"/>
    <mergeCell ref="C7:C12"/>
    <mergeCell ref="E7:E12"/>
    <mergeCell ref="A43:A48"/>
    <mergeCell ref="B133:B138"/>
    <mergeCell ref="D133:D138"/>
    <mergeCell ref="H67:H72"/>
    <mergeCell ref="H97:H102"/>
    <mergeCell ref="I61:I62"/>
    <mergeCell ref="C73:C78"/>
    <mergeCell ref="A67:A72"/>
    <mergeCell ref="B199:B204"/>
    <mergeCell ref="I125:I126"/>
    <mergeCell ref="D199:D204"/>
    <mergeCell ref="I171:I172"/>
    <mergeCell ref="A25:A30"/>
    <mergeCell ref="I127:I128"/>
    <mergeCell ref="C25:C30"/>
    <mergeCell ref="C85:C90"/>
    <mergeCell ref="A133:A138"/>
    <mergeCell ref="C133:C138"/>
    <mergeCell ref="C127:C132"/>
    <mergeCell ref="I39:I40"/>
    <mergeCell ref="F169:F174"/>
    <mergeCell ref="B19:B24"/>
    <mergeCell ref="G55:G60"/>
    <mergeCell ref="D121:D126"/>
    <mergeCell ref="F121:F126"/>
    <mergeCell ref="I49:I50"/>
    <mergeCell ref="C13:C18"/>
    <mergeCell ref="G211:G216"/>
    <mergeCell ref="I113:I114"/>
    <mergeCell ref="D187:D192"/>
    <mergeCell ref="F187:F192"/>
    <mergeCell ref="F103:F108"/>
    <mergeCell ref="H103:H108"/>
    <mergeCell ref="F205:F210"/>
    <mergeCell ref="I115:I116"/>
    <mergeCell ref="C79:C84"/>
    <mergeCell ref="E79:E84"/>
    <mergeCell ref="E73:E78"/>
    <mergeCell ref="F55:F60"/>
    <mergeCell ref="C121:C126"/>
    <mergeCell ref="E181:E186"/>
    <mergeCell ref="H169:H174"/>
    <mergeCell ref="B13:B18"/>
    <mergeCell ref="D13:D18"/>
    <mergeCell ref="D7:D12"/>
    <mergeCell ref="G139:G144"/>
    <mergeCell ref="I191:I192"/>
    <mergeCell ref="I199:I200"/>
    <mergeCell ref="F37:F42"/>
    <mergeCell ref="D73:D78"/>
    <mergeCell ref="F73:F78"/>
    <mergeCell ref="E163:E168"/>
    <mergeCell ref="A199:A204"/>
    <mergeCell ref="C199:C204"/>
    <mergeCell ref="E199:E204"/>
  </mergeCells>
  <conditionalFormatting sqref="G4:H4">
    <cfRule type="expression" priority="87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88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89" dxfId="9104">
      <formula>AND(G4&lt;&gt;"--:--",#REF!&lt;&gt;"--:--",ABS(TIMEVALUE(G4)-TIMEVALUE(#REF!))*1440&lt;30)</formula>
    </cfRule>
    <cfRule type="containsText" priority="90" operator="containsText" dxfId="9103" text="早退">
      <formula>NOT(ISERROR(SEARCH("早退",G4)))</formula>
    </cfRule>
    <cfRule type="containsText" priority="91" operator="containsText" dxfId="9102" text="迟到">
      <formula>NOT(ISERROR(SEARCH("迟到",G4)))</formula>
    </cfRule>
    <cfRule type="containsText" priority="92" operator="containsText" dxfId="9100" text="缺勤">
      <formula>NOT(ISERROR(SEARCH("缺勤",G4)))</formula>
    </cfRule>
    <cfRule type="containsText" priority="93" operator="containsText" dxfId="9100" text="旷工">
      <formula>NOT(ISERROR(SEARCH("旷工",G4)))</formula>
    </cfRule>
    <cfRule type="containsText" priority="94" operator="containsText" dxfId="9099" text="冲销">
      <formula>NOT(ISERROR(SEARCH("冲销",G4)))</formula>
    </cfRule>
    <cfRule type="containsText" priority="95" operator="containsText" dxfId="9098" text="异常打卡">
      <formula>NOT(ISERROR(SEARCH("异常打卡",G4)))</formula>
    </cfRule>
    <cfRule type="containsText" priority="96" operator="containsText" dxfId="9097" text="正常打卡">
      <formula>NOT(ISERROR(SEARCH("正常打卡",G4)))</formula>
    </cfRule>
  </conditionalFormatting>
  <conditionalFormatting sqref="F5">
    <cfRule type="expression" priority="86" dxfId="9065">
      <formula>F5&lt;F4</formula>
    </cfRule>
  </conditionalFormatting>
  <conditionalFormatting sqref="J7:L7">
    <cfRule type="expression" priority="84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N7:R7">
    <cfRule type="expression" priority="79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T7:X7">
    <cfRule type="expression" priority="76" dxfId="4514">
      <formula>AND(ISNUMBER(TIMEVALUE(LEFT(T7,FIND("(",T7&amp;"(")-1))),ISNUMBER(TIMEVALUE(LEFT(T9,FIND("(",T9&amp;"(")-1))),IF(TIMEVALUE(LEFT(T7,FIND("(",T7&amp;"(")-1))&lt;=TIME(3,59,59),TIMEVALUE(LEFT(T7,FIND("(",T7&amp;"(")-1))+1,TIMEVALUE(LEFT(T7,FIND("(",T7&amp;"(")-1)))+60/1440&lt;IF(TIMEVALUE(LEFT(T9,FIND("(",T9&amp;"(")-1))&lt;=TIME(3,59,59),TIMEVALUE(LEFT(T9,FIND("(",T9&amp;"(")-1))+1,TIMEVALUE(LEFT(T9,FIND("(",T9&amp;"(")-1))))</formula>
    </cfRule>
  </conditionalFormatting>
  <conditionalFormatting sqref="Z7:AD7">
    <cfRule type="expression" priority="73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AF7:AI7">
    <cfRule type="expression" priority="70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J8:L8">
    <cfRule type="expression" priority="85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8:R8">
    <cfRule type="expression" priority="80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T8:X8">
    <cfRule type="expression" priority="77" dxfId="4514">
      <formula>AND(ISNUMBER(TIMEVALUE(LEFT(T8,FIND("(",T8&amp;"(")-1))),ISNUMBER(TIMEVALUE(LEFT(T10,FIND("(",T10&amp;"(")-1))),IF(TIMEVALUE(LEFT(T8,FIND("(",T8&amp;"(")-1))&lt;=TIME(3,59,59),TIMEVALUE(LEFT(T8,FIND("(",T8&amp;"(")-1))+1,TIMEVALUE(LEFT(T8,FIND("(",T8&amp;"(")-1)))-60/1440&gt;IF(TIMEVALUE(LEFT(T10,FIND("(",T10&amp;"(")-1))&lt;=TIME(3,59,59),TIMEVALUE(LEFT(T10,FIND("(",T10&amp;"(")-1))+1,TIMEVALUE(LEFT(T10,FIND("(",T10&amp;"(")-1))))</formula>
    </cfRule>
  </conditionalFormatting>
  <conditionalFormatting sqref="Z8:AD8">
    <cfRule type="expression" priority="74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AF8:AI8">
    <cfRule type="expression" priority="71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J13:L13">
    <cfRule type="expression" priority="67" dxfId="4514">
      <formula>AND(ISNUMBER(TIMEVALUE(LEFT(J13,FIND("(",J13&amp;"(")-1))),ISNUMBER(TIMEVALUE(LEFT(J15,FIND("(",J15&amp;"(")-1))),IF(TIMEVALUE(LEFT(J13,FIND("(",J13&amp;"(")-1))&lt;=TIME(3,59,59),TIMEVALUE(LEFT(J13,FIND("(",J13&amp;"(")-1))+1,TIMEVALUE(LEFT(J13,FIND("(",J13&amp;"(")-1)))+60/1440&lt;IF(TIMEVALUE(LEFT(J15,FIND("(",J15&amp;"(")-1))&lt;=TIME(3,59,59),TIMEVALUE(LEFT(J15,FIND("(",J15&amp;"(")-1))+1,TIMEVALUE(LEFT(J15,FIND("(",J15&amp;"(")-1))))</formula>
    </cfRule>
  </conditionalFormatting>
  <conditionalFormatting sqref="N13:R13">
    <cfRule type="expression" priority="62" dxfId="4514">
      <formula>AND(ISNUMBER(TIMEVALUE(LEFT(N13,FIND("(",N13&amp;"(")-1))),ISNUMBER(TIMEVALUE(LEFT(N15,FIND("(",N15&amp;"(")-1))),IF(TIMEVALUE(LEFT(N13,FIND("(",N13&amp;"(")-1))&lt;=TIME(3,59,59),TIMEVALUE(LEFT(N13,FIND("(",N13&amp;"(")-1))+1,TIMEVALUE(LEFT(N13,FIND("(",N13&amp;"(")-1)))+60/1440&lt;IF(TIMEVALUE(LEFT(N15,FIND("(",N15&amp;"(")-1))&lt;=TIME(3,59,59),TIMEVALUE(LEFT(N15,FIND("(",N15&amp;"(")-1))+1,TIMEVALUE(LEFT(N15,FIND("(",N15&amp;"(")-1))))</formula>
    </cfRule>
  </conditionalFormatting>
  <conditionalFormatting sqref="T13:X13">
    <cfRule type="expression" priority="59" dxfId="4514">
      <formula>AND(ISNUMBER(TIMEVALUE(LEFT(T13,FIND("(",T13&amp;"(")-1))),ISNUMBER(TIMEVALUE(LEFT(T15,FIND("(",T15&amp;"(")-1))),IF(TIMEVALUE(LEFT(T13,FIND("(",T13&amp;"(")-1))&lt;=TIME(3,59,59),TIMEVALUE(LEFT(T13,FIND("(",T13&amp;"(")-1))+1,TIMEVALUE(LEFT(T13,FIND("(",T13&amp;"(")-1)))+60/1440&lt;IF(TIMEVALUE(LEFT(T15,FIND("(",T15&amp;"(")-1))&lt;=TIME(3,59,59),TIMEVALUE(LEFT(T15,FIND("(",T15&amp;"(")-1))+1,TIMEVALUE(LEFT(T15,FIND("(",T15&amp;"(")-1))))</formula>
    </cfRule>
  </conditionalFormatting>
  <conditionalFormatting sqref="Z13:AD13">
    <cfRule type="expression" priority="56" dxfId="4514">
      <formula>AND(ISNUMBER(TIMEVALUE(LEFT(Z13,FIND("(",Z13&amp;"(")-1))),ISNUMBER(TIMEVALUE(LEFT(Z15,FIND("(",Z15&amp;"(")-1))),IF(TIMEVALUE(LEFT(Z13,FIND("(",Z13&amp;"(")-1))&lt;=TIME(3,59,59),TIMEVALUE(LEFT(Z13,FIND("(",Z13&amp;"(")-1))+1,TIMEVALUE(LEFT(Z13,FIND("(",Z13&amp;"(")-1)))+60/1440&lt;IF(TIMEVALUE(LEFT(Z15,FIND("(",Z15&amp;"(")-1))&lt;=TIME(3,59,59),TIMEVALUE(LEFT(Z15,FIND("(",Z15&amp;"(")-1))+1,TIMEVALUE(LEFT(Z15,FIND("(",Z15&amp;"(")-1))))</formula>
    </cfRule>
  </conditionalFormatting>
  <conditionalFormatting sqref="AF13:AI13">
    <cfRule type="expression" priority="53" dxfId="4514">
      <formula>AND(ISNUMBER(TIMEVALUE(LEFT(AF13,FIND("(",AF13&amp;"(")-1))),ISNUMBER(TIMEVALUE(LEFT(AF15,FIND("(",AF15&amp;"(")-1))),IF(TIMEVALUE(LEFT(AF13,FIND("(",AF13&amp;"(")-1))&lt;=TIME(3,59,59),TIMEVALUE(LEFT(AF13,FIND("(",AF13&amp;"(")-1))+1,TIMEVALUE(LEFT(AF13,FIND("(",AF13&amp;"(")-1)))+60/1440&lt;IF(TIMEVALUE(LEFT(AF15,FIND("(",AF15&amp;"(")-1))&lt;=TIME(3,59,59),TIMEVALUE(LEFT(AF15,FIND("(",AF15&amp;"(")-1))+1,TIMEVALUE(LEFT(AF15,FIND("(",AF15&amp;"(")-1))))</formula>
    </cfRule>
  </conditionalFormatting>
  <conditionalFormatting sqref="J14:L14">
    <cfRule type="expression" priority="68" dxfId="4514">
      <formula>AND(ISNUMBER(TIMEVALUE(LEFT(J14,FIND("(",J14&amp;"(")-1))),ISNUMBER(TIMEVALUE(LEFT(J16,FIND("(",J16&amp;"(")-1))),IF(TIMEVALUE(LEFT(J14,FIND("(",J14&amp;"(")-1))&lt;=TIME(3,59,59),TIMEVALUE(LEFT(J14,FIND("(",J14&amp;"(")-1))+1,TIMEVALUE(LEFT(J14,FIND("(",J14&amp;"(")-1)))-60/1440&gt;IF(TIMEVALUE(LEFT(J16,FIND("(",J16&amp;"(")-1))&lt;=TIME(3,59,59),TIMEVALUE(LEFT(J16,FIND("(",J16&amp;"(")-1))+1,TIMEVALUE(LEFT(J16,FIND("(",J16&amp;"(")-1))))</formula>
    </cfRule>
  </conditionalFormatting>
  <conditionalFormatting sqref="N14:R14">
    <cfRule type="expression" priority="63" dxfId="4514">
      <formula>AND(ISNUMBER(TIMEVALUE(LEFT(N14,FIND("(",N14&amp;"(")-1))),ISNUMBER(TIMEVALUE(LEFT(N16,FIND("(",N16&amp;"(")-1))),IF(TIMEVALUE(LEFT(N14,FIND("(",N14&amp;"(")-1))&lt;=TIME(3,59,59),TIMEVALUE(LEFT(N14,FIND("(",N14&amp;"(")-1))+1,TIMEVALUE(LEFT(N14,FIND("(",N14&amp;"(")-1)))-60/1440&gt;IF(TIMEVALUE(LEFT(N16,FIND("(",N16&amp;"(")-1))&lt;=TIME(3,59,59),TIMEVALUE(LEFT(N16,FIND("(",N16&amp;"(")-1))+1,TIMEVALUE(LEFT(N16,FIND("(",N16&amp;"(")-1))))</formula>
    </cfRule>
  </conditionalFormatting>
  <conditionalFormatting sqref="T14:X14">
    <cfRule type="expression" priority="60" dxfId="4514">
      <formula>AND(ISNUMBER(TIMEVALUE(LEFT(T14,FIND("(",T14&amp;"(")-1))),ISNUMBER(TIMEVALUE(LEFT(T16,FIND("(",T16&amp;"(")-1))),IF(TIMEVALUE(LEFT(T14,FIND("(",T14&amp;"(")-1))&lt;=TIME(3,59,59),TIMEVALUE(LEFT(T14,FIND("(",T14&amp;"(")-1))+1,TIMEVALUE(LEFT(T14,FIND("(",T14&amp;"(")-1)))-60/1440&gt;IF(TIMEVALUE(LEFT(T16,FIND("(",T16&amp;"(")-1))&lt;=TIME(3,59,59),TIMEVALUE(LEFT(T16,FIND("(",T16&amp;"(")-1))+1,TIMEVALUE(LEFT(T16,FIND("(",T16&amp;"(")-1))))</formula>
    </cfRule>
  </conditionalFormatting>
  <conditionalFormatting sqref="Z14:AD14">
    <cfRule type="expression" priority="57" dxfId="4514">
      <formula>AND(ISNUMBER(TIMEVALUE(LEFT(Z14,FIND("(",Z14&amp;"(")-1))),ISNUMBER(TIMEVALUE(LEFT(Z16,FIND("(",Z16&amp;"(")-1))),IF(TIMEVALUE(LEFT(Z14,FIND("(",Z14&amp;"(")-1))&lt;=TIME(3,59,59),TIMEVALUE(LEFT(Z14,FIND("(",Z14&amp;"(")-1))+1,TIMEVALUE(LEFT(Z14,FIND("(",Z14&amp;"(")-1)))-60/1440&gt;IF(TIMEVALUE(LEFT(Z16,FIND("(",Z16&amp;"(")-1))&lt;=TIME(3,59,59),TIMEVALUE(LEFT(Z16,FIND("(",Z16&amp;"(")-1))+1,TIMEVALUE(LEFT(Z16,FIND("(",Z16&amp;"(")-1))))</formula>
    </cfRule>
  </conditionalFormatting>
  <conditionalFormatting sqref="AF14:AI14">
    <cfRule type="expression" priority="54" dxfId="4514">
      <formula>AND(ISNUMBER(TIMEVALUE(LEFT(AF14,FIND("(",AF14&amp;"(")-1))),ISNUMBER(TIMEVALUE(LEFT(AF16,FIND("(",AF16&amp;"(")-1))),IF(TIMEVALUE(LEFT(AF14,FIND("(",AF14&amp;"(")-1))&lt;=TIME(3,59,59),TIMEVALUE(LEFT(AF14,FIND("(",AF14&amp;"(")-1))+1,TIMEVALUE(LEFT(AF14,FIND("(",AF14&amp;"(")-1)))-60/1440&gt;IF(TIMEVALUE(LEFT(AF16,FIND("(",AF16&amp;"(")-1))&lt;=TIME(3,59,59),TIMEVALUE(LEFT(AF16,FIND("(",AF16&amp;"(")-1))+1,TIMEVALUE(LEFT(AF16,FIND("(",AF16&amp;"(")-1))))</formula>
    </cfRule>
  </conditionalFormatting>
  <conditionalFormatting sqref="J19:L19">
    <cfRule type="expression" priority="50" dxfId="4514">
      <formula>AND(ISNUMBER(TIMEVALUE(LEFT(J19,FIND("(",J19&amp;"(")-1))),ISNUMBER(TIMEVALUE(LEFT(J21,FIND("(",J21&amp;"(")-1))),IF(TIMEVALUE(LEFT(J19,FIND("(",J19&amp;"(")-1))&lt;=TIME(3,59,59),TIMEVALUE(LEFT(J19,FIND("(",J19&amp;"(")-1))+1,TIMEVALUE(LEFT(J19,FIND("(",J19&amp;"(")-1)))+60/1440&lt;IF(TIMEVALUE(LEFT(J21,FIND("(",J21&amp;"(")-1))&lt;=TIME(3,59,59),TIMEVALUE(LEFT(J21,FIND("(",J21&amp;"(")-1))+1,TIMEVALUE(LEFT(J21,FIND("(",J21&amp;"(")-1))))</formula>
    </cfRule>
  </conditionalFormatting>
  <conditionalFormatting sqref="N19:R19">
    <cfRule type="expression" priority="45" dxfId="4514">
      <formula>AND(ISNUMBER(TIMEVALUE(LEFT(N19,FIND("(",N19&amp;"(")-1))),ISNUMBER(TIMEVALUE(LEFT(N21,FIND("(",N21&amp;"(")-1))),IF(TIMEVALUE(LEFT(N19,FIND("(",N19&amp;"(")-1))&lt;=TIME(3,59,59),TIMEVALUE(LEFT(N19,FIND("(",N19&amp;"(")-1))+1,TIMEVALUE(LEFT(N19,FIND("(",N19&amp;"(")-1)))+60/1440&lt;IF(TIMEVALUE(LEFT(N21,FIND("(",N21&amp;"(")-1))&lt;=TIME(3,59,59),TIMEVALUE(LEFT(N21,FIND("(",N21&amp;"(")-1))+1,TIMEVALUE(LEFT(N21,FIND("(",N21&amp;"(")-1))))</formula>
    </cfRule>
  </conditionalFormatting>
  <conditionalFormatting sqref="T19:X19">
    <cfRule type="expression" priority="42" dxfId="4514">
      <formula>AND(ISNUMBER(TIMEVALUE(LEFT(T19,FIND("(",T19&amp;"(")-1))),ISNUMBER(TIMEVALUE(LEFT(T21,FIND("(",T21&amp;"(")-1))),IF(TIMEVALUE(LEFT(T19,FIND("(",T19&amp;"(")-1))&lt;=TIME(3,59,59),TIMEVALUE(LEFT(T19,FIND("(",T19&amp;"(")-1))+1,TIMEVALUE(LEFT(T19,FIND("(",T19&amp;"(")-1)))+60/1440&lt;IF(TIMEVALUE(LEFT(T21,FIND("(",T21&amp;"(")-1))&lt;=TIME(3,59,59),TIMEVALUE(LEFT(T21,FIND("(",T21&amp;"(")-1))+1,TIMEVALUE(LEFT(T21,FIND("(",T21&amp;"(")-1))))</formula>
    </cfRule>
  </conditionalFormatting>
  <conditionalFormatting sqref="Z19:AD19">
    <cfRule type="expression" priority="39" dxfId="4514">
      <formula>AND(ISNUMBER(TIMEVALUE(LEFT(Z19,FIND("(",Z19&amp;"(")-1))),ISNUMBER(TIMEVALUE(LEFT(Z21,FIND("(",Z21&amp;"(")-1))),IF(TIMEVALUE(LEFT(Z19,FIND("(",Z19&amp;"(")-1))&lt;=TIME(3,59,59),TIMEVALUE(LEFT(Z19,FIND("(",Z19&amp;"(")-1))+1,TIMEVALUE(LEFT(Z19,FIND("(",Z19&amp;"(")-1)))+60/1440&lt;IF(TIMEVALUE(LEFT(Z21,FIND("(",Z21&amp;"(")-1))&lt;=TIME(3,59,59),TIMEVALUE(LEFT(Z21,FIND("(",Z21&amp;"(")-1))+1,TIMEVALUE(LEFT(Z21,FIND("(",Z21&amp;"(")-1))))</formula>
    </cfRule>
  </conditionalFormatting>
  <conditionalFormatting sqref="AF19:AI19">
    <cfRule type="expression" priority="36" dxfId="4514">
      <formula>AND(ISNUMBER(TIMEVALUE(LEFT(AF19,FIND("(",AF19&amp;"(")-1))),ISNUMBER(TIMEVALUE(LEFT(AF21,FIND("(",AF21&amp;"(")-1))),IF(TIMEVALUE(LEFT(AF19,FIND("(",AF19&amp;"(")-1))&lt;=TIME(3,59,59),TIMEVALUE(LEFT(AF19,FIND("(",AF19&amp;"(")-1))+1,TIMEVALUE(LEFT(AF19,FIND("(",AF19&amp;"(")-1)))+60/1440&lt;IF(TIMEVALUE(LEFT(AF21,FIND("(",AF21&amp;"(")-1))&lt;=TIME(3,59,59),TIMEVALUE(LEFT(AF21,FIND("(",AF21&amp;"(")-1))+1,TIMEVALUE(LEFT(AF21,FIND("(",AF21&amp;"(")-1))))</formula>
    </cfRule>
  </conditionalFormatting>
  <conditionalFormatting sqref="J20:L20">
    <cfRule type="expression" priority="51" dxfId="4514">
      <formula>AND(ISNUMBER(TIMEVALUE(LEFT(J20,FIND("(",J20&amp;"(")-1))),ISNUMBER(TIMEVALUE(LEFT(J22,FIND("(",J22&amp;"(")-1))),IF(TIMEVALUE(LEFT(J20,FIND("(",J20&amp;"(")-1))&lt;=TIME(3,59,59),TIMEVALUE(LEFT(J20,FIND("(",J20&amp;"(")-1))+1,TIMEVALUE(LEFT(J20,FIND("(",J20&amp;"(")-1)))-60/1440&gt;IF(TIMEVALUE(LEFT(J22,FIND("(",J22&amp;"(")-1))&lt;=TIME(3,59,59),TIMEVALUE(LEFT(J22,FIND("(",J22&amp;"(")-1))+1,TIMEVALUE(LEFT(J22,FIND("(",J22&amp;"(")-1))))</formula>
    </cfRule>
  </conditionalFormatting>
  <conditionalFormatting sqref="N20:R20">
    <cfRule type="expression" priority="46" dxfId="4514">
      <formula>AND(ISNUMBER(TIMEVALUE(LEFT(N20,FIND("(",N20&amp;"(")-1))),ISNUMBER(TIMEVALUE(LEFT(N22,FIND("(",N22&amp;"(")-1))),IF(TIMEVALUE(LEFT(N20,FIND("(",N20&amp;"(")-1))&lt;=TIME(3,59,59),TIMEVALUE(LEFT(N20,FIND("(",N20&amp;"(")-1))+1,TIMEVALUE(LEFT(N20,FIND("(",N20&amp;"(")-1)))-60/1440&gt;IF(TIMEVALUE(LEFT(N22,FIND("(",N22&amp;"(")-1))&lt;=TIME(3,59,59),TIMEVALUE(LEFT(N22,FIND("(",N22&amp;"(")-1))+1,TIMEVALUE(LEFT(N22,FIND("(",N22&amp;"(")-1))))</formula>
    </cfRule>
  </conditionalFormatting>
  <conditionalFormatting sqref="T20:X20">
    <cfRule type="expression" priority="43" dxfId="4514">
      <formula>AND(ISNUMBER(TIMEVALUE(LEFT(T20,FIND("(",T20&amp;"(")-1))),ISNUMBER(TIMEVALUE(LEFT(T22,FIND("(",T22&amp;"(")-1))),IF(TIMEVALUE(LEFT(T20,FIND("(",T20&amp;"(")-1))&lt;=TIME(3,59,59),TIMEVALUE(LEFT(T20,FIND("(",T20&amp;"(")-1))+1,TIMEVALUE(LEFT(T20,FIND("(",T20&amp;"(")-1)))-60/1440&gt;IF(TIMEVALUE(LEFT(T22,FIND("(",T22&amp;"(")-1))&lt;=TIME(3,59,59),TIMEVALUE(LEFT(T22,FIND("(",T22&amp;"(")-1))+1,TIMEVALUE(LEFT(T22,FIND("(",T22&amp;"(")-1))))</formula>
    </cfRule>
  </conditionalFormatting>
  <conditionalFormatting sqref="Z20:AD20">
    <cfRule type="expression" priority="40" dxfId="4514">
      <formula>AND(ISNUMBER(TIMEVALUE(LEFT(Z20,FIND("(",Z20&amp;"(")-1))),ISNUMBER(TIMEVALUE(LEFT(Z22,FIND("(",Z22&amp;"(")-1))),IF(TIMEVALUE(LEFT(Z20,FIND("(",Z20&amp;"(")-1))&lt;=TIME(3,59,59),TIMEVALUE(LEFT(Z20,FIND("(",Z20&amp;"(")-1))+1,TIMEVALUE(LEFT(Z20,FIND("(",Z20&amp;"(")-1)))-60/1440&gt;IF(TIMEVALUE(LEFT(Z22,FIND("(",Z22&amp;"(")-1))&lt;=TIME(3,59,59),TIMEVALUE(LEFT(Z22,FIND("(",Z22&amp;"(")-1))+1,TIMEVALUE(LEFT(Z22,FIND("(",Z22&amp;"(")-1))))</formula>
    </cfRule>
  </conditionalFormatting>
  <conditionalFormatting sqref="AF20:AI20">
    <cfRule type="expression" priority="37" dxfId="4514">
      <formula>AND(ISNUMBER(TIMEVALUE(LEFT(AF20,FIND("(",AF20&amp;"(")-1))),ISNUMBER(TIMEVALUE(LEFT(AF22,FIND("(",AF22&amp;"(")-1))),IF(TIMEVALUE(LEFT(AF20,FIND("(",AF20&amp;"(")-1))&lt;=TIME(3,59,59),TIMEVALUE(LEFT(AF20,FIND("(",AF20&amp;"(")-1))+1,TIMEVALUE(LEFT(AF20,FIND("(",AF20&amp;"(")-1)))-60/1440&gt;IF(TIMEVALUE(LEFT(AF22,FIND("(",AF22&amp;"(")-1))&lt;=TIME(3,59,59),TIMEVALUE(LEFT(AF22,FIND("(",AF22&amp;"(")-1))+1,TIMEVALUE(LEFT(AF22,FIND("(",AF22&amp;"(")-1))))</formula>
    </cfRule>
  </conditionalFormatting>
  <conditionalFormatting sqref="J25:L25">
    <cfRule type="expression" priority="33" dxfId="4514">
      <formula>AND(ISNUMBER(TIMEVALUE(LEFT(J25,FIND("(",J25&amp;"(")-1))),ISNUMBER(TIMEVALUE(LEFT(J27,FIND("(",J27&amp;"(")-1))),IF(TIMEVALUE(LEFT(J25,FIND("(",J25&amp;"(")-1))&lt;=TIME(3,59,59),TIMEVALUE(LEFT(J25,FIND("(",J25&amp;"(")-1))+1,TIMEVALUE(LEFT(J25,FIND("(",J25&amp;"(")-1)))+60/1440&lt;IF(TIMEVALUE(LEFT(J27,FIND("(",J27&amp;"(")-1))&lt;=TIME(3,59,59),TIMEVALUE(LEFT(J27,FIND("(",J27&amp;"(")-1))+1,TIMEVALUE(LEFT(J27,FIND("(",J27&amp;"(")-1))))</formula>
    </cfRule>
  </conditionalFormatting>
  <conditionalFormatting sqref="N25:R25">
    <cfRule type="expression" priority="28" dxfId="4514">
      <formula>AND(ISNUMBER(TIMEVALUE(LEFT(N25,FIND("(",N25&amp;"(")-1))),ISNUMBER(TIMEVALUE(LEFT(N27,FIND("(",N27&amp;"(")-1))),IF(TIMEVALUE(LEFT(N25,FIND("(",N25&amp;"(")-1))&lt;=TIME(3,59,59),TIMEVALUE(LEFT(N25,FIND("(",N25&amp;"(")-1))+1,TIMEVALUE(LEFT(N25,FIND("(",N25&amp;"(")-1)))+60/1440&lt;IF(TIMEVALUE(LEFT(N27,FIND("(",N27&amp;"(")-1))&lt;=TIME(3,59,59),TIMEVALUE(LEFT(N27,FIND("(",N27&amp;"(")-1))+1,TIMEVALUE(LEFT(N27,FIND("(",N27&amp;"(")-1))))</formula>
    </cfRule>
  </conditionalFormatting>
  <conditionalFormatting sqref="T25:X25">
    <cfRule type="expression" priority="25" dxfId="4514">
      <formula>AND(ISNUMBER(TIMEVALUE(LEFT(T25,FIND("(",T25&amp;"(")-1))),ISNUMBER(TIMEVALUE(LEFT(T27,FIND("(",T27&amp;"(")-1))),IF(TIMEVALUE(LEFT(T25,FIND("(",T25&amp;"(")-1))&lt;=TIME(3,59,59),TIMEVALUE(LEFT(T25,FIND("(",T25&amp;"(")-1))+1,TIMEVALUE(LEFT(T25,FIND("(",T25&amp;"(")-1)))+60/1440&lt;IF(TIMEVALUE(LEFT(T27,FIND("(",T27&amp;"(")-1))&lt;=TIME(3,59,59),TIMEVALUE(LEFT(T27,FIND("(",T27&amp;"(")-1))+1,TIMEVALUE(LEFT(T27,FIND("(",T27&amp;"(")-1))))</formula>
    </cfRule>
  </conditionalFormatting>
  <conditionalFormatting sqref="Z25:AD25">
    <cfRule type="expression" priority="22" dxfId="4514">
      <formula>AND(ISNUMBER(TIMEVALUE(LEFT(Z25,FIND("(",Z25&amp;"(")-1))),ISNUMBER(TIMEVALUE(LEFT(Z27,FIND("(",Z27&amp;"(")-1))),IF(TIMEVALUE(LEFT(Z25,FIND("(",Z25&amp;"(")-1))&lt;=TIME(3,59,59),TIMEVALUE(LEFT(Z25,FIND("(",Z25&amp;"(")-1))+1,TIMEVALUE(LEFT(Z25,FIND("(",Z25&amp;"(")-1)))+60/1440&lt;IF(TIMEVALUE(LEFT(Z27,FIND("(",Z27&amp;"(")-1))&lt;=TIME(3,59,59),TIMEVALUE(LEFT(Z27,FIND("(",Z27&amp;"(")-1))+1,TIMEVALUE(LEFT(Z27,FIND("(",Z27&amp;"(")-1))))</formula>
    </cfRule>
  </conditionalFormatting>
  <conditionalFormatting sqref="AF25:AI25">
    <cfRule type="expression" priority="19" dxfId="4514">
      <formula>AND(ISNUMBER(TIMEVALUE(LEFT(AF25,FIND("(",AF25&amp;"(")-1))),ISNUMBER(TIMEVALUE(LEFT(AF27,FIND("(",AF27&amp;"(")-1))),IF(TIMEVALUE(LEFT(AF25,FIND("(",AF25&amp;"(")-1))&lt;=TIME(3,59,59),TIMEVALUE(LEFT(AF25,FIND("(",AF25&amp;"(")-1))+1,TIMEVALUE(LEFT(AF25,FIND("(",AF25&amp;"(")-1)))+60/1440&lt;IF(TIMEVALUE(LEFT(AF27,FIND("(",AF27&amp;"(")-1))&lt;=TIME(3,59,59),TIMEVALUE(LEFT(AF27,FIND("(",AF27&amp;"(")-1))+1,TIMEVALUE(LEFT(AF27,FIND("(",AF27&amp;"(")-1))))</formula>
    </cfRule>
  </conditionalFormatting>
  <conditionalFormatting sqref="J26:L26">
    <cfRule type="expression" priority="34" dxfId="4514">
      <formula>AND(ISNUMBER(TIMEVALUE(LEFT(J26,FIND("(",J26&amp;"(")-1))),ISNUMBER(TIMEVALUE(LEFT(J28,FIND("(",J28&amp;"(")-1))),IF(TIMEVALUE(LEFT(J26,FIND("(",J26&amp;"(")-1))&lt;=TIME(3,59,59),TIMEVALUE(LEFT(J26,FIND("(",J26&amp;"(")-1))+1,TIMEVALUE(LEFT(J26,FIND("(",J26&amp;"(")-1)))-60/1440&gt;IF(TIMEVALUE(LEFT(J28,FIND("(",J28&amp;"(")-1))&lt;=TIME(3,59,59),TIMEVALUE(LEFT(J28,FIND("(",J28&amp;"(")-1))+1,TIMEVALUE(LEFT(J28,FIND("(",J28&amp;"(")-1))))</formula>
    </cfRule>
  </conditionalFormatting>
  <conditionalFormatting sqref="N26:R26">
    <cfRule type="expression" priority="29" dxfId="4514">
      <formula>AND(ISNUMBER(TIMEVALUE(LEFT(N26,FIND("(",N26&amp;"(")-1))),ISNUMBER(TIMEVALUE(LEFT(N28,FIND("(",N28&amp;"(")-1))),IF(TIMEVALUE(LEFT(N26,FIND("(",N26&amp;"(")-1))&lt;=TIME(3,59,59),TIMEVALUE(LEFT(N26,FIND("(",N26&amp;"(")-1))+1,TIMEVALUE(LEFT(N26,FIND("(",N26&amp;"(")-1)))-60/1440&gt;IF(TIMEVALUE(LEFT(N28,FIND("(",N28&amp;"(")-1))&lt;=TIME(3,59,59),TIMEVALUE(LEFT(N28,FIND("(",N28&amp;"(")-1))+1,TIMEVALUE(LEFT(N28,FIND("(",N28&amp;"(")-1))))</formula>
    </cfRule>
  </conditionalFormatting>
  <conditionalFormatting sqref="T26:X26">
    <cfRule type="expression" priority="26" dxfId="4514">
      <formula>AND(ISNUMBER(TIMEVALUE(LEFT(T26,FIND("(",T26&amp;"(")-1))),ISNUMBER(TIMEVALUE(LEFT(T28,FIND("(",T28&amp;"(")-1))),IF(TIMEVALUE(LEFT(T26,FIND("(",T26&amp;"(")-1))&lt;=TIME(3,59,59),TIMEVALUE(LEFT(T26,FIND("(",T26&amp;"(")-1))+1,TIMEVALUE(LEFT(T26,FIND("(",T26&amp;"(")-1)))-60/1440&gt;IF(TIMEVALUE(LEFT(T28,FIND("(",T28&amp;"(")-1))&lt;=TIME(3,59,59),TIMEVALUE(LEFT(T28,FIND("(",T28&amp;"(")-1))+1,TIMEVALUE(LEFT(T28,FIND("(",T28&amp;"(")-1))))</formula>
    </cfRule>
  </conditionalFormatting>
  <conditionalFormatting sqref="Z26:AD26">
    <cfRule type="expression" priority="23" dxfId="4514">
      <formula>AND(ISNUMBER(TIMEVALUE(LEFT(Z26,FIND("(",Z26&amp;"(")-1))),ISNUMBER(TIMEVALUE(LEFT(Z28,FIND("(",Z28&amp;"(")-1))),IF(TIMEVALUE(LEFT(Z26,FIND("(",Z26&amp;"(")-1))&lt;=TIME(3,59,59),TIMEVALUE(LEFT(Z26,FIND("(",Z26&amp;"(")-1))+1,TIMEVALUE(LEFT(Z26,FIND("(",Z26&amp;"(")-1)))-60/1440&gt;IF(TIMEVALUE(LEFT(Z28,FIND("(",Z28&amp;"(")-1))&lt;=TIME(3,59,59),TIMEVALUE(LEFT(Z28,FIND("(",Z28&amp;"(")-1))+1,TIMEVALUE(LEFT(Z28,FIND("(",Z28&amp;"(")-1))))</formula>
    </cfRule>
  </conditionalFormatting>
  <conditionalFormatting sqref="AF26:AI26">
    <cfRule type="expression" priority="20" dxfId="4514">
      <formula>AND(ISNUMBER(TIMEVALUE(LEFT(AF26,FIND("(",AF26&amp;"(")-1))),ISNUMBER(TIMEVALUE(LEFT(AF28,FIND("(",AF28&amp;"(")-1))),IF(TIMEVALUE(LEFT(AF26,FIND("(",AF26&amp;"(")-1))&lt;=TIME(3,59,59),TIMEVALUE(LEFT(AF26,FIND("(",AF26&amp;"(")-1))+1,TIMEVALUE(LEFT(AF26,FIND("(",AF26&amp;"(")-1)))-60/1440&gt;IF(TIMEVALUE(LEFT(AF28,FIND("(",AF28&amp;"(")-1))&lt;=TIME(3,59,59),TIMEVALUE(LEFT(AF28,FIND("(",AF28&amp;"(")-1))+1,TIMEVALUE(LEFT(AF28,FIND("(",AF28&amp;"(")-1))))</formula>
    </cfRule>
  </conditionalFormatting>
  <conditionalFormatting sqref="F2:F4">
    <cfRule type="expression" priority="97" dxfId="9065">
      <formula>F2&lt;#REF!</formula>
    </cfRule>
  </conditionalFormatting>
  <conditionalFormatting sqref="G7:G216">
    <cfRule type="expression" priority="98" dxfId="9064">
      <formula>G11-F11&gt;0.5</formula>
    </cfRule>
  </conditionalFormatting>
  <conditionalFormatting sqref="J7:L8">
    <cfRule type="expression" priority="81" dxfId="9039">
      <formula>J9="--:--"</formula>
    </cfRule>
  </conditionalFormatting>
  <conditionalFormatting sqref="N7:R8">
    <cfRule type="expression" priority="78" dxfId="9039">
      <formula>N9="--:--"</formula>
    </cfRule>
  </conditionalFormatting>
  <conditionalFormatting sqref="T7:X8">
    <cfRule type="expression" priority="75" dxfId="9039">
      <formula>T9="--:--"</formula>
    </cfRule>
  </conditionalFormatting>
  <conditionalFormatting sqref="Z7:AD8">
    <cfRule type="expression" priority="72" dxfId="9039">
      <formula>Z9="--:--"</formula>
    </cfRule>
  </conditionalFormatting>
  <conditionalFormatting sqref="AF7:AI8">
    <cfRule type="expression" priority="69" dxfId="9039">
      <formula>AF9="--:--"</formula>
    </cfRule>
  </conditionalFormatting>
  <conditionalFormatting sqref="J13:L14">
    <cfRule type="expression" priority="64" dxfId="9039">
      <formula>J15="--:--"</formula>
    </cfRule>
  </conditionalFormatting>
  <conditionalFormatting sqref="N13:R14">
    <cfRule type="expression" priority="61" dxfId="9039">
      <formula>N15="--:--"</formula>
    </cfRule>
  </conditionalFormatting>
  <conditionalFormatting sqref="T13:X14">
    <cfRule type="expression" priority="58" dxfId="9039">
      <formula>T15="--:--"</formula>
    </cfRule>
  </conditionalFormatting>
  <conditionalFormatting sqref="Z13:AD14">
    <cfRule type="expression" priority="55" dxfId="9039">
      <formula>Z15="--:--"</formula>
    </cfRule>
  </conditionalFormatting>
  <conditionalFormatting sqref="AF13:AI14">
    <cfRule type="expression" priority="52" dxfId="9039">
      <formula>AF15="--:--"</formula>
    </cfRule>
  </conditionalFormatting>
  <conditionalFormatting sqref="J19:L20">
    <cfRule type="expression" priority="47" dxfId="9039">
      <formula>J21="--:--"</formula>
    </cfRule>
  </conditionalFormatting>
  <conditionalFormatting sqref="N19:R20">
    <cfRule type="expression" priority="44" dxfId="9039">
      <formula>N21="--:--"</formula>
    </cfRule>
  </conditionalFormatting>
  <conditionalFormatting sqref="T19:X20">
    <cfRule type="expression" priority="41" dxfId="9039">
      <formula>T21="--:--"</formula>
    </cfRule>
  </conditionalFormatting>
  <conditionalFormatting sqref="Z19:AD20">
    <cfRule type="expression" priority="38" dxfId="9039">
      <formula>Z21="--:--"</formula>
    </cfRule>
  </conditionalFormatting>
  <conditionalFormatting sqref="AF19:AI20">
    <cfRule type="expression" priority="35" dxfId="9039">
      <formula>AF21="--:--"</formula>
    </cfRule>
  </conditionalFormatting>
  <conditionalFormatting sqref="J25:L26">
    <cfRule type="expression" priority="30" dxfId="9039">
      <formula>J27="--:--"</formula>
    </cfRule>
  </conditionalFormatting>
  <conditionalFormatting sqref="N25:R26">
    <cfRule type="expression" priority="27" dxfId="9039">
      <formula>N27="--:--"</formula>
    </cfRule>
  </conditionalFormatting>
  <conditionalFormatting sqref="T25:X26">
    <cfRule type="expression" priority="24" dxfId="9039">
      <formula>T27="--:--"</formula>
    </cfRule>
  </conditionalFormatting>
  <conditionalFormatting sqref="Z25:AD26">
    <cfRule type="expression" priority="21" dxfId="9039">
      <formula>Z27="--:--"</formula>
    </cfRule>
  </conditionalFormatting>
  <conditionalFormatting sqref="AF25:AI26">
    <cfRule type="expression" priority="18" dxfId="9039">
      <formula>AF27="--:--"</formula>
    </cfRule>
  </conditionalFormatting>
  <conditionalFormatting sqref="J31:L31 J37:L37 J43:L43 J49:L49 J55:L55 J61:L61 J67:L67 J73:L73 J79:L79 J85:L85 J91:L91 J97:L97 J103:L103 J109:L109 J115:L115 J121:L121 J127:L127 J133:L133 J139:L139 J145:L145 J151:L151 J157:L157 J163:L163 J169:L169 J175:L175 J181:L181 J187:L187 J193:L193 J199:L199 J205:L205 J211:L211">
    <cfRule type="expression" priority="16" dxfId="4514">
      <formula>AND(ISNUMBER(TIMEVALUE(LEFT(J31,FIND("(",J31&amp;"(")-1))),ISNUMBER(TIMEVALUE(LEFT(J33,FIND("(",J33&amp;"(")-1))),IF(TIMEVALUE(LEFT(J31,FIND("(",J31&amp;"(")-1))&lt;=TIME(3,59,59),TIMEVALUE(LEFT(J31,FIND("(",J31&amp;"(")-1))+1,TIMEVALUE(LEFT(J31,FIND("(",J31&amp;"(")-1)))+60/1440&lt;IF(TIMEVALUE(LEFT(J33,FIND("(",J33&amp;"(")-1))&lt;=TIME(3,59,59),TIMEVALUE(LEFT(J33,FIND("(",J33&amp;"(")-1))+1,TIMEVALUE(LEFT(J33,FIND("(",J33&amp;"(")-1))))</formula>
    </cfRule>
  </conditionalFormatting>
  <conditionalFormatting sqref="J31:L32 J37:L38 J43:L44 J49:L50 J55:L56 J61:L62 J67:L68 J73:L74 J79:L80 J85:L86 J91:L92 J97:L98 J103:L104 J109:L110 J115:L116 J121:L122 J127:L128 J133:L134 J139:L140 J145:L146 J151:L152 J157:L158 J163:L164 J169:L170 J175:L176 J181:L182 J187:L188 J193:L194 J199:L200 J205:L206 J211:L212">
    <cfRule type="expression" priority="13" dxfId="9039">
      <formula>J33="--:--"</formula>
    </cfRule>
  </conditionalFormatting>
  <conditionalFormatting sqref="N31:R31 N37:R37 N43:R43 N49:R49 N55:R55 N61:R61 N67:R67 N73:R73 N79:R79 N85:R85 N91:R91 N97:R97 N103:R103 N109:R109 N115:R115 N121:R121 N127:R127 N133:R133 N139:R139 N145:R145 N151:R151 N157:R157 N163:R163 N169:R169 N175:R175 N181:R181 N187:R187 N193:R193 N199:R199 N205:R205 N211:R211">
    <cfRule type="expression" priority="11" dxfId="4514">
      <formula>AND(ISNUMBER(TIMEVALUE(LEFT(N31,FIND("(",N31&amp;"(")-1))),ISNUMBER(TIMEVALUE(LEFT(N33,FIND("(",N33&amp;"(")-1))),IF(TIMEVALUE(LEFT(N31,FIND("(",N31&amp;"(")-1))&lt;=TIME(3,59,59),TIMEVALUE(LEFT(N31,FIND("(",N31&amp;"(")-1))+1,TIMEVALUE(LEFT(N31,FIND("(",N31&amp;"(")-1)))+60/1440&lt;IF(TIMEVALUE(LEFT(N33,FIND("(",N33&amp;"(")-1))&lt;=TIME(3,59,59),TIMEVALUE(LEFT(N33,FIND("(",N33&amp;"(")-1))+1,TIMEVALUE(LEFT(N33,FIND("(",N33&amp;"(")-1))))</formula>
    </cfRule>
  </conditionalFormatting>
  <conditionalFormatting sqref="N31:R32 N37:R38 N43:R44 N49:R50 N55:R56 N61:R62 N67:R68 N73:R74 N79:R80 N85:R86 N91:R92 N97:R98 N103:R104 N109:R110 N115:R116 N121:R122 N127:R128 N133:R134 N139:R140 N145:R146 N151:R152 N157:R158 N163:R164 N169:R170 N175:R176 N181:R182 N187:R188 N193:R194 N199:R200 N205:R206 N211:R212">
    <cfRule type="expression" priority="10" dxfId="9039">
      <formula>N33="--:--"</formula>
    </cfRule>
  </conditionalFormatting>
  <conditionalFormatting sqref="T31:X31 T37:X37 T43:X43 T49:X49 T55:X55 T61:X61 T67:X67 T73:X73 T79:X79 T85:X85 T91:X91 T97:X97 T103:X103 T109:X109 T115:X115 T121:X121 T127:X127 T133:X133 T139:X139 T145:X145 T151:X151 T157:X157 T163:X163 T169:X169 T175:X175 T181:X181 T187:X187 T193:X193 T199:X199 T205:X205 T211:X211">
    <cfRule type="expression" priority="8" dxfId="4514">
      <formula>AND(ISNUMBER(TIMEVALUE(LEFT(T31,FIND("(",T31&amp;"(")-1))),ISNUMBER(TIMEVALUE(LEFT(T33,FIND("(",T33&amp;"(")-1))),IF(TIMEVALUE(LEFT(T31,FIND("(",T31&amp;"(")-1))&lt;=TIME(3,59,59),TIMEVALUE(LEFT(T31,FIND("(",T31&amp;"(")-1))+1,TIMEVALUE(LEFT(T31,FIND("(",T31&amp;"(")-1)))+60/1440&lt;IF(TIMEVALUE(LEFT(T33,FIND("(",T33&amp;"(")-1))&lt;=TIME(3,59,59),TIMEVALUE(LEFT(T33,FIND("(",T33&amp;"(")-1))+1,TIMEVALUE(LEFT(T33,FIND("(",T33&amp;"(")-1))))</formula>
    </cfRule>
  </conditionalFormatting>
  <conditionalFormatting sqref="T31:X32 T37:X38 T43:X44 T49:X50 T55:X56 T61:X62 T67:X68 T73:X74 T79:X80 T85:X86 T91:X92 T97:X98 T103:X104 T109:X110 T115:X116 T121:X122 T127:X128 T133:X134 T139:X140 T145:X146 T151:X152 T157:X158 T163:X164 T169:X170 T175:X176 T181:X182 T187:X188 T193:X194 T199:X200 T205:X206 T211:X212">
    <cfRule type="expression" priority="7" dxfId="9039">
      <formula>T33="--:--"</formula>
    </cfRule>
  </conditionalFormatting>
  <conditionalFormatting sqref="Z31:AD31 Z37:AD37 Z43:AD43 Z49:AD49 Z55:AD55 Z61:AD61 Z67:AD67 Z73:AD73 Z79:AD79 Z85:AD85 Z91:AD91 Z97:AD97 Z103:AD103 Z109:AD109 Z115:AD115 Z121:AD121 Z127:AD127 Z133:AD133 Z139:AD139 Z145:AD145 Z151:AD151 Z157:AD157 Z163:AD163 Z169:AD169 Z175:AD175 Z181:AD181 Z187:AD187 Z193:AD193 Z199:AD199 Z205:AD205 Z211:AD211">
    <cfRule type="expression" priority="5" dxfId="4514">
      <formula>AND(ISNUMBER(TIMEVALUE(LEFT(Z31,FIND("(",Z31&amp;"(")-1))),ISNUMBER(TIMEVALUE(LEFT(Z33,FIND("(",Z33&amp;"(")-1))),IF(TIMEVALUE(LEFT(Z31,FIND("(",Z31&amp;"(")-1))&lt;=TIME(3,59,59),TIMEVALUE(LEFT(Z31,FIND("(",Z31&amp;"(")-1))+1,TIMEVALUE(LEFT(Z31,FIND("(",Z31&amp;"(")-1)))+60/1440&lt;IF(TIMEVALUE(LEFT(Z33,FIND("(",Z33&amp;"(")-1))&lt;=TIME(3,59,59),TIMEVALUE(LEFT(Z33,FIND("(",Z33&amp;"(")-1))+1,TIMEVALUE(LEFT(Z33,FIND("(",Z33&amp;"(")-1))))</formula>
    </cfRule>
  </conditionalFormatting>
  <conditionalFormatting sqref="Z31:AD32 Z37:AD38 Z43:AD44 Z49:AD50 Z55:AD56 Z61:AD62 Z67:AD68 Z73:AD74 Z79:AD80 Z85:AD86 Z91:AD92 Z97:AD98 Z103:AD104 Z109:AD110 Z115:AD116 Z121:AD122 Z127:AD128 Z133:AD134 Z139:AD140 Z145:AD146 Z151:AD152 Z157:AD158 Z163:AD164 Z169:AD170 Z175:AD176 Z181:AD182 Z187:AD188 Z193:AD194 Z199:AD200 Z205:AD206 Z211:AD212">
    <cfRule type="expression" priority="4" dxfId="9039">
      <formula>Z33="--:--"</formula>
    </cfRule>
  </conditionalFormatting>
  <conditionalFormatting sqref="AF31:AI31 AF37:AI37 AF43:AI43 AF49:AI49 AF55:AI55 AF61:AI61 AF67:AI67 AF73:AI73 AF79:AI79 AF85:AI85 AF91:AI91 AF97:AI97 AF103:AI103 AF109:AI109 AF115:AI115 AF121:AI121 AF127:AI127 AF133:AI133 AF139:AI139 AF145:AI145 AF151:AI151 AF157:AI157 AF163:AI163 AF169:AI169 AF175:AI175 AF181:AI181 AF187:AI187 AF193:AI193 AF199:AI199 AF205:AI205 AF211:AI211">
    <cfRule type="expression" priority="2" dxfId="4514">
      <formula>AND(ISNUMBER(TIMEVALUE(LEFT(AF31,FIND("(",AF31&amp;"(")-1))),ISNUMBER(TIMEVALUE(LEFT(AF33,FIND("(",AF33&amp;"(")-1))),IF(TIMEVALUE(LEFT(AF31,FIND("(",AF31&amp;"(")-1))&lt;=TIME(3,59,59),TIMEVALUE(LEFT(AF31,FIND("(",AF31&amp;"(")-1))+1,TIMEVALUE(LEFT(AF31,FIND("(",AF31&amp;"(")-1)))+60/1440&lt;IF(TIMEVALUE(LEFT(AF33,FIND("(",AF33&amp;"(")-1))&lt;=TIME(3,59,59),TIMEVALUE(LEFT(AF33,FIND("(",AF33&amp;"(")-1))+1,TIMEVALUE(LEFT(AF33,FIND("(",AF33&amp;"(")-1))))</formula>
    </cfRule>
  </conditionalFormatting>
  <conditionalFormatting sqref="AF31:AI32 AF37:AI38 AF43:AI44 AF49:AI50 AF55:AI56 AF61:AI62 AF67:AI68 AF73:AI74 AF79:AI80 AF85:AI86 AF91:AI92 AF97:AI98 AF103:AI104 AF109:AI110 AF115:AI116 AF121:AI122 AF127:AI128 AF133:AI134 AF139:AI140 AF145:AI146 AF151:AI152 AF157:AI158 AF163:AI164 AF169:AI170 AF175:AI176 AF181:AI182 AF187:AI188 AF193:AI194 AF199:AI200 AF205:AI206 AF211:AI212">
    <cfRule type="expression" priority="1" dxfId="9039">
      <formula>AF33="--:--"</formula>
    </cfRule>
  </conditionalFormatting>
  <conditionalFormatting sqref="J32:L32 J38:L38 J44:L44 J50:L50 J56:L56 J62:L62 J68:L68 J74:L74 J80:L80 J86:L86 J92:L92 J98:L98 J104:L104 J110:L110 J116:L116 J122:L122 J128:L128 J134:L134 J140:L140 J146:L146 J152:L152 J158:L158 J164:L164 J170:L170 J176:L176 J182:L182 J188:L188 J194:L194 J200:L200 J206:L206 J212:L212">
    <cfRule type="expression" priority="17" dxfId="4514">
      <formula>AND(ISNUMBER(TIMEVALUE(LEFT(J32,FIND("(",J32&amp;"(")-1))),ISNUMBER(TIMEVALUE(LEFT(J34,FIND("(",J34&amp;"(")-1))),IF(TIMEVALUE(LEFT(J32,FIND("(",J32&amp;"(")-1))&lt;=TIME(3,59,59),TIMEVALUE(LEFT(J32,FIND("(",J32&amp;"(")-1))+1,TIMEVALUE(LEFT(J32,FIND("(",J32&amp;"(")-1)))-60/1440&gt;IF(TIMEVALUE(LEFT(J34,FIND("(",J34&amp;"(")-1))&lt;=TIME(3,59,59),TIMEVALUE(LEFT(J34,FIND("(",J34&amp;"(")-1))+1,TIMEVALUE(LEFT(J34,FIND("(",J34&amp;"(")-1))))</formula>
    </cfRule>
  </conditionalFormatting>
  <conditionalFormatting sqref="N32:R32 N38:R38 N44:R44 N50:R50 N56:R56 N62:R62 N68:R68 N74:R74 N80:R80 N86:R86 N92:R92 N98:R98 N104:R104 N110:R110 N116:R116 N122:R122 N128:R128 N134:R134 N140:R140 N146:R146 N152:R152 N158:R158 N164:R164 N170:R170 N176:R176 N182:R182 N188:R188 N194:R194 N200:R200 N206:R206 N212:R212">
    <cfRule type="expression" priority="12" dxfId="4514">
      <formula>AND(ISNUMBER(TIMEVALUE(LEFT(N32,FIND("(",N32&amp;"(")-1))),ISNUMBER(TIMEVALUE(LEFT(N34,FIND("(",N34&amp;"(")-1))),IF(TIMEVALUE(LEFT(N32,FIND("(",N32&amp;"(")-1))&lt;=TIME(3,59,59),TIMEVALUE(LEFT(N32,FIND("(",N32&amp;"(")-1))+1,TIMEVALUE(LEFT(N32,FIND("(",N32&amp;"(")-1)))-60/1440&gt;IF(TIMEVALUE(LEFT(N34,FIND("(",N34&amp;"(")-1))&lt;=TIME(3,59,59),TIMEVALUE(LEFT(N34,FIND("(",N34&amp;"(")-1))+1,TIMEVALUE(LEFT(N34,FIND("(",N34&amp;"(")-1))))</formula>
    </cfRule>
  </conditionalFormatting>
  <conditionalFormatting sqref="T32:X32 T38:X38 T44:X44 T50:X50 T56:X56 T62:X62 T68:X68 T74:X74 T80:X80 T86:X86 T92:X92 T98:X98 T104:X104 T110:X110 T116:X116 T122:X122 T128:X128 T134:X134 T140:X140 T146:X146 T152:X152 T158:X158 T164:X164 T170:X170 T176:X176 T182:X182 T188:X188 T194:X194 T200:X200 T206:X206 T212:X212">
    <cfRule type="expression" priority="9" dxfId="4514">
      <formula>AND(ISNUMBER(TIMEVALUE(LEFT(T32,FIND("(",T32&amp;"(")-1))),ISNUMBER(TIMEVALUE(LEFT(T34,FIND("(",T34&amp;"(")-1))),IF(TIMEVALUE(LEFT(T32,FIND("(",T32&amp;"(")-1))&lt;=TIME(3,59,59),TIMEVALUE(LEFT(T32,FIND("(",T32&amp;"(")-1))+1,TIMEVALUE(LEFT(T32,FIND("(",T32&amp;"(")-1)))-60/1440&gt;IF(TIMEVALUE(LEFT(T34,FIND("(",T34&amp;"(")-1))&lt;=TIME(3,59,59),TIMEVALUE(LEFT(T34,FIND("(",T34&amp;"(")-1))+1,TIMEVALUE(LEFT(T34,FIND("(",T34&amp;"(")-1))))</formula>
    </cfRule>
  </conditionalFormatting>
  <conditionalFormatting sqref="Z32:AD32 Z38:AD38 Z44:AD44 Z50:AD50 Z56:AD56 Z62:AD62 Z68:AD68 Z74:AD74 Z80:AD80 Z86:AD86 Z92:AD92 Z98:AD98 Z104:AD104 Z110:AD110 Z116:AD116 Z122:AD122 Z128:AD128 Z134:AD134 Z140:AD140 Z146:AD146 Z152:AD152 Z158:AD158 Z164:AD164 Z170:AD170 Z176:AD176 Z182:AD182 Z188:AD188 Z194:AD194 Z200:AD200 Z206:AD206 Z212:AD212">
    <cfRule type="expression" priority="6" dxfId="4514">
      <formula>AND(ISNUMBER(TIMEVALUE(LEFT(Z32,FIND("(",Z32&amp;"(")-1))),ISNUMBER(TIMEVALUE(LEFT(Z34,FIND("(",Z34&amp;"(")-1))),IF(TIMEVALUE(LEFT(Z32,FIND("(",Z32&amp;"(")-1))&lt;=TIME(3,59,59),TIMEVALUE(LEFT(Z32,FIND("(",Z32&amp;"(")-1))+1,TIMEVALUE(LEFT(Z32,FIND("(",Z32&amp;"(")-1)))-60/1440&gt;IF(TIMEVALUE(LEFT(Z34,FIND("(",Z34&amp;"(")-1))&lt;=TIME(3,59,59),TIMEVALUE(LEFT(Z34,FIND("(",Z34&amp;"(")-1))+1,TIMEVALUE(LEFT(Z34,FIND("(",Z34&amp;"(")-1))))</formula>
    </cfRule>
  </conditionalFormatting>
  <conditionalFormatting sqref="AF32:AI32 AF38:AI38 AF44:AI44 AF50:AI50 AF56:AI56 AF62:AI62 AF68:AI68 AF74:AI74 AF80:AI80 AF86:AI86 AF92:AI92 AF98:AI98 AF104:AI104 AF110:AI110 AF116:AI116 AF122:AI122 AF128:AI128 AF134:AI134 AF140:AI140 AF146:AI146 AF152:AI152 AF158:AI158 AF164:AI164 AF170:AI170 AF176:AI176 AF182:AI182 AF188:AI188 AF194:AI194 AF200:AI200 AF206:AI206 AF212:AI212">
    <cfRule type="expression" priority="3" dxfId="4514">
      <formula>AND(ISNUMBER(TIMEVALUE(LEFT(AF32,FIND("(",AF32&amp;"(")-1))),ISNUMBER(TIMEVALUE(LEFT(AF34,FIND("(",AF34&amp;"(")-1))),IF(TIMEVALUE(LEFT(AF32,FIND("(",AF32&amp;"(")-1))&lt;=TIME(3,59,59),TIMEVALUE(LEFT(AF32,FIND("(",AF32&amp;"(")-1))+1,TIMEVALUE(LEFT(AF32,FIND("(",AF32&amp;"(")-1)))-60/1440&gt;IF(TIMEVALUE(LEFT(AF34,FIND("(",AF34&amp;"(")-1))&lt;=TIME(3,59,59),TIMEVALUE(LEFT(AF34,FIND("(",AF34&amp;"(")-1))+1,TIMEVALUE(LEFT(AF34,FIND("(",AF34&amp;"(")-1))))</formula>
    </cfRule>
  </conditionalFormatting>
  <pageMargins left="0.25" right="0.25" top="0.75" bottom="0.75" header="0.3" footer="0.3"/>
  <pageSetup orientation="landscape" paperSize="77" scale="37" fitToHeight="22"/>
</worksheet>
</file>

<file path=xl/worksheets/sheet4.xml><?xml version="1.0" encoding="utf-8"?>
<worksheet xmlns="http://schemas.openxmlformats.org/spreadsheetml/2006/main">
  <sheetPr codeName="Sheet7">
    <outlinePr summaryBelow="0"/>
    <pageSetUpPr fitToPage="1"/>
  </sheetPr>
  <dimension ref="A1:AI12"/>
  <sheetViews>
    <sheetView workbookViewId="0">
      <pane ySplit="6" topLeftCell="A7" activePane="bottomLeft" state="frozen"/>
      <selection pane="bottomLeft" activeCell="M41" sqref="M41"/>
    </sheetView>
  </sheetViews>
  <sheetFormatPr baseColWidth="10" defaultColWidth="9.1640625" defaultRowHeight="14"/>
  <cols>
    <col width="9.5" customWidth="1" style="129" min="2" max="2"/>
    <col width="15.5" customWidth="1" style="129" min="4" max="4"/>
    <col width="16.1640625" customWidth="1" style="129" min="5" max="5"/>
    <col width="20" customWidth="1" style="129" min="6" max="8"/>
    <col width="14.1640625" customWidth="1" style="129" min="9" max="9"/>
    <col width="11.1640625" customWidth="1" style="129" min="10" max="35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</row>
    <row r="4" ht="14" customHeight="1" s="129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31" t="n">
        <v>4</v>
      </c>
      <c r="K4" s="131" t="n">
        <v>5</v>
      </c>
      <c r="L4" s="131" t="n">
        <v>6</v>
      </c>
      <c r="M4" s="132" t="inlineStr">
        <is>
          <t>周末/假期</t>
        </is>
      </c>
      <c r="N4" s="131" t="n">
        <v>2</v>
      </c>
      <c r="O4" s="131" t="n">
        <v>3</v>
      </c>
      <c r="P4" s="131" t="n">
        <v>4</v>
      </c>
      <c r="Q4" s="131" t="n">
        <v>5</v>
      </c>
      <c r="R4" s="131" t="n">
        <v>6</v>
      </c>
      <c r="S4" s="132" t="inlineStr">
        <is>
          <t>周末/假期</t>
        </is>
      </c>
      <c r="T4" s="131" t="n">
        <v>2</v>
      </c>
      <c r="U4" s="131" t="n">
        <v>3</v>
      </c>
      <c r="V4" s="131" t="n">
        <v>4</v>
      </c>
      <c r="W4" s="131" t="n">
        <v>5</v>
      </c>
      <c r="X4" s="131" t="n">
        <v>6</v>
      </c>
      <c r="Y4" s="132" t="inlineStr">
        <is>
          <t>周末/假期</t>
        </is>
      </c>
      <c r="Z4" s="131" t="n">
        <v>2</v>
      </c>
      <c r="AA4" s="131" t="n">
        <v>3</v>
      </c>
      <c r="AB4" s="131" t="n">
        <v>4</v>
      </c>
      <c r="AC4" s="131" t="n">
        <v>5</v>
      </c>
      <c r="AD4" s="131" t="n">
        <v>6</v>
      </c>
      <c r="AE4" s="132" t="inlineStr">
        <is>
          <t>周末/假期</t>
        </is>
      </c>
      <c r="AF4" s="131" t="n">
        <v>2</v>
      </c>
      <c r="AG4" s="131" t="n">
        <v>3</v>
      </c>
      <c r="AH4" s="131" t="n">
        <v>4</v>
      </c>
      <c r="AI4" s="131" t="n">
        <v>5</v>
      </c>
    </row>
    <row r="5" ht="39" customHeight="1" s="129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46113</v>
      </c>
      <c r="K5" s="134" t="n">
        <v>46114</v>
      </c>
      <c r="L5" s="134" t="n">
        <v>46115</v>
      </c>
      <c r="N5" s="134" t="n">
        <v>46118</v>
      </c>
      <c r="O5" s="134" t="n">
        <v>46119</v>
      </c>
      <c r="P5" s="134" t="n">
        <v>46120</v>
      </c>
      <c r="Q5" s="134" t="n">
        <v>46121</v>
      </c>
      <c r="R5" s="134" t="n">
        <v>46122</v>
      </c>
      <c r="T5" s="134" t="n">
        <v>46125</v>
      </c>
      <c r="U5" s="134" t="n">
        <v>46126</v>
      </c>
      <c r="V5" s="134" t="n">
        <v>46127</v>
      </c>
      <c r="W5" s="134" t="n">
        <v>46128</v>
      </c>
      <c r="X5" s="134" t="n">
        <v>46129</v>
      </c>
      <c r="Z5" s="134" t="n">
        <v>46132</v>
      </c>
      <c r="AA5" s="134" t="n">
        <v>46133</v>
      </c>
      <c r="AB5" s="134" t="n">
        <v>46134</v>
      </c>
      <c r="AC5" s="134" t="n">
        <v>46135</v>
      </c>
      <c r="AD5" s="134" t="n">
        <v>46136</v>
      </c>
      <c r="AF5" s="134" t="n">
        <v>46139</v>
      </c>
      <c r="AG5" s="134" t="n">
        <v>46140</v>
      </c>
      <c r="AH5" s="134" t="n">
        <v>46141</v>
      </c>
      <c r="AI5" s="134" t="n">
        <v>46142</v>
      </c>
    </row>
    <row r="6" ht="16" customHeight="1" s="129">
      <c r="A6" s="167" t="inlineStr">
        <is>
          <t>影视业务</t>
        </is>
      </c>
      <c r="B6" s="168" t="n"/>
      <c r="C6" s="168" t="n"/>
      <c r="D6" s="168" t="n"/>
      <c r="E6" s="168" t="n"/>
      <c r="F6" s="168" t="n"/>
      <c r="G6" s="168" t="n"/>
      <c r="H6" s="168" t="n"/>
      <c r="I6" s="168" t="n"/>
      <c r="J6" s="168" t="n"/>
      <c r="K6" s="168" t="n"/>
      <c r="L6" s="168" t="n"/>
      <c r="M6" s="168" t="n"/>
      <c r="N6" s="168" t="n"/>
      <c r="O6" s="168" t="n"/>
      <c r="P6" s="168" t="n"/>
      <c r="Q6" s="168" t="n"/>
      <c r="R6" s="168" t="n"/>
      <c r="S6" s="168" t="n"/>
      <c r="T6" s="168" t="n"/>
      <c r="U6" s="168" t="n"/>
      <c r="V6" s="168" t="n"/>
      <c r="W6" s="168" t="n"/>
      <c r="X6" s="168" t="n"/>
      <c r="Y6" s="168" t="n"/>
      <c r="Z6" s="168" t="n"/>
      <c r="AA6" s="168" t="n"/>
      <c r="AB6" s="168" t="n"/>
      <c r="AC6" s="168" t="n"/>
      <c r="AD6" s="168" t="n"/>
      <c r="AE6" s="168" t="n"/>
      <c r="AF6" s="168" t="n"/>
      <c r="AG6" s="168" t="n"/>
      <c r="AH6" s="168" t="n"/>
      <c r="AI6" s="169" t="n"/>
    </row>
    <row r="7"/>
    <row r="8"/>
    <row r="9"/>
    <row r="10"/>
    <row r="11"/>
    <row r="12"/>
  </sheetData>
  <mergeCells count="16">
    <mergeCell ref="M4:M5"/>
    <mergeCell ref="I9:I10"/>
    <mergeCell ref="C7:C12"/>
    <mergeCell ref="A7:A12"/>
    <mergeCell ref="Y4:Y5"/>
    <mergeCell ref="AE4:AE5"/>
    <mergeCell ref="B7:B12"/>
    <mergeCell ref="D7:D12"/>
    <mergeCell ref="E7:E12"/>
    <mergeCell ref="A6:AI6"/>
    <mergeCell ref="S4:S5"/>
    <mergeCell ref="F7:F12"/>
    <mergeCell ref="G7:G12"/>
    <mergeCell ref="H7:H12"/>
    <mergeCell ref="I7:I8"/>
    <mergeCell ref="I11:I12"/>
  </mergeCells>
  <conditionalFormatting sqref="G4:H4">
    <cfRule type="expression" priority="19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20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21" dxfId="9104">
      <formula>AND(G4&lt;&gt;"--:--",#REF!&lt;&gt;"--:--",ABS(TIMEVALUE(G4)-TIMEVALUE(#REF!))*1440&lt;30)</formula>
    </cfRule>
    <cfRule type="containsText" priority="22" operator="containsText" dxfId="9103" text="早退">
      <formula>NOT(ISERROR(SEARCH("早退",G4)))</formula>
    </cfRule>
    <cfRule type="containsText" priority="23" operator="containsText" dxfId="9102" text="迟到">
      <formula>NOT(ISERROR(SEARCH("迟到",G4)))</formula>
    </cfRule>
    <cfRule type="containsText" priority="24" operator="containsText" dxfId="9100" text="缺勤">
      <formula>NOT(ISERROR(SEARCH("缺勤",G4)))</formula>
    </cfRule>
    <cfRule type="containsText" priority="25" operator="containsText" dxfId="9100" text="旷工">
      <formula>NOT(ISERROR(SEARCH("旷工",G4)))</formula>
    </cfRule>
    <cfRule type="containsText" priority="26" operator="containsText" dxfId="9099" text="冲销">
      <formula>NOT(ISERROR(SEARCH("冲销",G4)))</formula>
    </cfRule>
    <cfRule type="containsText" priority="27" operator="containsText" dxfId="9098" text="异常打卡">
      <formula>NOT(ISERROR(SEARCH("异常打卡",G4)))</formula>
    </cfRule>
    <cfRule type="containsText" priority="28" operator="containsText" dxfId="9097" text="正常打卡">
      <formula>NOT(ISERROR(SEARCH("正常打卡",G4)))</formula>
    </cfRule>
  </conditionalFormatting>
  <conditionalFormatting sqref="F5">
    <cfRule type="expression" priority="18" dxfId="9065">
      <formula>F5&lt;F4</formula>
    </cfRule>
  </conditionalFormatting>
  <conditionalFormatting sqref="J7:L7">
    <cfRule type="expression" priority="16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N7:R7">
    <cfRule type="expression" priority="11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T7:X7">
    <cfRule type="expression" priority="8" dxfId="4514">
      <formula>AND(ISNUMBER(TIMEVALUE(LEFT(T7,FIND("(",T7&amp;"(")-1))),ISNUMBER(TIMEVALUE(LEFT(T9,FIND("(",T9&amp;"(")-1))),IF(TIMEVALUE(LEFT(T7,FIND("(",T7&amp;"(")-1))&lt;=TIME(3,59,59),TIMEVALUE(LEFT(T7,FIND("(",T7&amp;"(")-1))+1,TIMEVALUE(LEFT(T7,FIND("(",T7&amp;"(")-1)))+60/1440&lt;IF(TIMEVALUE(LEFT(T9,FIND("(",T9&amp;"(")-1))&lt;=TIME(3,59,59),TIMEVALUE(LEFT(T9,FIND("(",T9&amp;"(")-1))+1,TIMEVALUE(LEFT(T9,FIND("(",T9&amp;"(")-1))))</formula>
    </cfRule>
  </conditionalFormatting>
  <conditionalFormatting sqref="Z7:AD7">
    <cfRule type="expression" priority="5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AF7:AI7">
    <cfRule type="expression" priority="2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J8:L8">
    <cfRule type="expression" priority="17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8:R8">
    <cfRule type="expression" priority="12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T8:X8">
    <cfRule type="expression" priority="9" dxfId="4514">
      <formula>AND(ISNUMBER(TIMEVALUE(LEFT(T8,FIND("(",T8&amp;"(")-1))),ISNUMBER(TIMEVALUE(LEFT(T10,FIND("(",T10&amp;"(")-1))),IF(TIMEVALUE(LEFT(T8,FIND("(",T8&amp;"(")-1))&lt;=TIME(3,59,59),TIMEVALUE(LEFT(T8,FIND("(",T8&amp;"(")-1))+1,TIMEVALUE(LEFT(T8,FIND("(",T8&amp;"(")-1)))-60/1440&gt;IF(TIMEVALUE(LEFT(T10,FIND("(",T10&amp;"(")-1))&lt;=TIME(3,59,59),TIMEVALUE(LEFT(T10,FIND("(",T10&amp;"(")-1))+1,TIMEVALUE(LEFT(T10,FIND("(",T10&amp;"(")-1))))</formula>
    </cfRule>
  </conditionalFormatting>
  <conditionalFormatting sqref="Z8:AD8">
    <cfRule type="expression" priority="6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AF8:AI8">
    <cfRule type="expression" priority="3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F2:F4">
    <cfRule type="expression" priority="29" dxfId="9065">
      <formula>F2&lt;#REF!</formula>
    </cfRule>
  </conditionalFormatting>
  <conditionalFormatting sqref="G7:G12">
    <cfRule type="expression" priority="30" dxfId="9064">
      <formula>G11-F11&gt;0.5</formula>
    </cfRule>
  </conditionalFormatting>
  <conditionalFormatting sqref="J7:L8">
    <cfRule type="expression" priority="13" dxfId="9039">
      <formula>J9="--:--"</formula>
    </cfRule>
  </conditionalFormatting>
  <conditionalFormatting sqref="N7:R8">
    <cfRule type="expression" priority="10" dxfId="9039">
      <formula>N9="--:--"</formula>
    </cfRule>
  </conditionalFormatting>
  <conditionalFormatting sqref="T7:X8">
    <cfRule type="expression" priority="7" dxfId="9039">
      <formula>T9="--:--"</formula>
    </cfRule>
  </conditionalFormatting>
  <conditionalFormatting sqref="Z7:AD8">
    <cfRule type="expression" priority="4" dxfId="9039">
      <formula>Z9="--:--"</formula>
    </cfRule>
  </conditionalFormatting>
  <conditionalFormatting sqref="AF7:AI8">
    <cfRule type="expression" priority="1" dxfId="9039">
      <formula>AF9="--:--"</formula>
    </cfRule>
  </conditionalFormatting>
  <pageMargins left="0.25" right="0.25" top="0.75" bottom="0.75" header="0.3" footer="0.3"/>
  <pageSetup orientation="landscape" paperSize="77" scale="37" fitToHeight="22"/>
</worksheet>
</file>

<file path=xl/worksheets/sheet5.xml><?xml version="1.0" encoding="utf-8"?>
<worksheet xmlns="http://schemas.openxmlformats.org/spreadsheetml/2006/main">
  <sheetPr codeName="Sheet8">
    <outlinePr summaryBelow="0"/>
    <pageSetUpPr fitToPage="1"/>
  </sheetPr>
  <dimension ref="A1:AI48"/>
  <sheetViews>
    <sheetView workbookViewId="0">
      <pane ySplit="6" topLeftCell="A7" activePane="bottomLeft" state="frozen"/>
      <selection pane="bottomLeft" activeCell="I13" sqref="I13:AI48"/>
    </sheetView>
  </sheetViews>
  <sheetFormatPr baseColWidth="10" defaultColWidth="9.1640625" defaultRowHeight="14"/>
  <cols>
    <col width="9.5" customWidth="1" style="129" min="2" max="2"/>
    <col width="15.5" customWidth="1" style="129" min="4" max="4"/>
    <col width="16.1640625" customWidth="1" style="129" min="5" max="5"/>
    <col width="20" customWidth="1" style="129" min="6" max="8"/>
    <col width="14.1640625" customWidth="1" style="129" min="9" max="9"/>
    <col width="11.1640625" customWidth="1" style="129" min="10" max="35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</row>
    <row r="4" ht="14" customHeight="1" s="129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31" t="n">
        <v>4</v>
      </c>
      <c r="K4" s="131" t="n">
        <v>5</v>
      </c>
      <c r="L4" s="131" t="n">
        <v>6</v>
      </c>
      <c r="M4" s="132" t="inlineStr">
        <is>
          <t>周末/假期</t>
        </is>
      </c>
      <c r="N4" s="131" t="n">
        <v>2</v>
      </c>
      <c r="O4" s="131" t="n">
        <v>3</v>
      </c>
      <c r="P4" s="131" t="n">
        <v>4</v>
      </c>
      <c r="Q4" s="131" t="n">
        <v>5</v>
      </c>
      <c r="R4" s="131" t="n">
        <v>6</v>
      </c>
      <c r="S4" s="132" t="inlineStr">
        <is>
          <t>周末/假期</t>
        </is>
      </c>
      <c r="T4" s="131" t="n">
        <v>2</v>
      </c>
      <c r="U4" s="131" t="n">
        <v>3</v>
      </c>
      <c r="V4" s="131" t="n">
        <v>4</v>
      </c>
      <c r="W4" s="131" t="n">
        <v>5</v>
      </c>
      <c r="X4" s="131" t="n">
        <v>6</v>
      </c>
      <c r="Y4" s="132" t="inlineStr">
        <is>
          <t>周末/假期</t>
        </is>
      </c>
      <c r="Z4" s="131" t="n">
        <v>2</v>
      </c>
      <c r="AA4" s="131" t="n">
        <v>3</v>
      </c>
      <c r="AB4" s="131" t="n">
        <v>4</v>
      </c>
      <c r="AC4" s="131" t="n">
        <v>5</v>
      </c>
      <c r="AD4" s="131" t="n">
        <v>6</v>
      </c>
      <c r="AE4" s="132" t="inlineStr">
        <is>
          <t>周末/假期</t>
        </is>
      </c>
      <c r="AF4" s="131" t="n">
        <v>2</v>
      </c>
      <c r="AG4" s="131" t="n">
        <v>3</v>
      </c>
      <c r="AH4" s="131" t="n">
        <v>4</v>
      </c>
      <c r="AI4" s="131" t="n">
        <v>5</v>
      </c>
    </row>
    <row r="5" ht="39" customHeight="1" s="129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46113</v>
      </c>
      <c r="K5" s="134" t="n">
        <v>46114</v>
      </c>
      <c r="L5" s="134" t="n">
        <v>46115</v>
      </c>
      <c r="N5" s="134" t="n">
        <v>46118</v>
      </c>
      <c r="O5" s="134" t="n">
        <v>46119</v>
      </c>
      <c r="P5" s="134" t="n">
        <v>46120</v>
      </c>
      <c r="Q5" s="134" t="n">
        <v>46121</v>
      </c>
      <c r="R5" s="134" t="n">
        <v>46122</v>
      </c>
      <c r="T5" s="134" t="n">
        <v>46125</v>
      </c>
      <c r="U5" s="134" t="n">
        <v>46126</v>
      </c>
      <c r="V5" s="134" t="n">
        <v>46127</v>
      </c>
      <c r="W5" s="134" t="n">
        <v>46128</v>
      </c>
      <c r="X5" s="134" t="n">
        <v>46129</v>
      </c>
      <c r="Z5" s="134" t="n">
        <v>46132</v>
      </c>
      <c r="AA5" s="134" t="n">
        <v>46133</v>
      </c>
      <c r="AB5" s="134" t="n">
        <v>46134</v>
      </c>
      <c r="AC5" s="134" t="n">
        <v>46135</v>
      </c>
      <c r="AD5" s="134" t="n">
        <v>46136</v>
      </c>
      <c r="AF5" s="134" t="n">
        <v>46139</v>
      </c>
      <c r="AG5" s="134" t="n">
        <v>46140</v>
      </c>
      <c r="AH5" s="134" t="n">
        <v>46141</v>
      </c>
      <c r="AI5" s="134" t="n">
        <v>46142</v>
      </c>
    </row>
    <row r="6" ht="16" customHeight="1" s="129">
      <c r="A6" s="167" t="inlineStr">
        <is>
          <t>虚拟世界</t>
        </is>
      </c>
      <c r="B6" s="168" t="n"/>
      <c r="C6" s="168" t="n"/>
      <c r="D6" s="168" t="n"/>
      <c r="E6" s="168" t="n"/>
      <c r="F6" s="168" t="n"/>
      <c r="G6" s="168" t="n"/>
      <c r="H6" s="168" t="n"/>
      <c r="I6" s="168" t="n"/>
      <c r="J6" s="168" t="n"/>
      <c r="K6" s="168" t="n"/>
      <c r="L6" s="168" t="n"/>
      <c r="M6" s="168" t="n"/>
      <c r="N6" s="168" t="n"/>
      <c r="O6" s="168" t="n"/>
      <c r="P6" s="168" t="n"/>
      <c r="Q6" s="168" t="n"/>
      <c r="R6" s="168" t="n"/>
      <c r="S6" s="168" t="n"/>
      <c r="T6" s="168" t="n"/>
      <c r="U6" s="168" t="n"/>
      <c r="V6" s="168" t="n"/>
      <c r="W6" s="168" t="n"/>
      <c r="X6" s="168" t="n"/>
      <c r="Y6" s="168" t="n"/>
      <c r="Z6" s="168" t="n"/>
      <c r="AA6" s="168" t="n"/>
      <c r="AB6" s="168" t="n"/>
      <c r="AC6" s="168" t="n"/>
      <c r="AD6" s="168" t="n"/>
      <c r="AE6" s="168" t="n"/>
      <c r="AF6" s="168" t="n"/>
      <c r="AG6" s="168" t="n"/>
      <c r="AH6" s="168" t="n"/>
      <c r="AI6" s="169" t="n"/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</sheetData>
  <mergeCells count="82">
    <mergeCell ref="G31:G36"/>
    <mergeCell ref="B25:B30"/>
    <mergeCell ref="F7:F12"/>
    <mergeCell ref="F19:F24"/>
    <mergeCell ref="B43:B48"/>
    <mergeCell ref="E13:E18"/>
    <mergeCell ref="G13:G18"/>
    <mergeCell ref="G7:G12"/>
    <mergeCell ref="I17:I18"/>
    <mergeCell ref="I43:I44"/>
    <mergeCell ref="F31:F36"/>
    <mergeCell ref="I29:I30"/>
    <mergeCell ref="D25:D30"/>
    <mergeCell ref="H19:H24"/>
    <mergeCell ref="I35:I36"/>
    <mergeCell ref="H37:H42"/>
    <mergeCell ref="I31:I32"/>
    <mergeCell ref="AE4:AE5"/>
    <mergeCell ref="E25:E30"/>
    <mergeCell ref="G25:G30"/>
    <mergeCell ref="I15:I16"/>
    <mergeCell ref="A19:A24"/>
    <mergeCell ref="C19:C24"/>
    <mergeCell ref="I45:I46"/>
    <mergeCell ref="B7:B12"/>
    <mergeCell ref="H43:H48"/>
    <mergeCell ref="I7:I8"/>
    <mergeCell ref="A6:AI6"/>
    <mergeCell ref="I33:I34"/>
    <mergeCell ref="A37:A42"/>
    <mergeCell ref="C31:C36"/>
    <mergeCell ref="E31:E36"/>
    <mergeCell ref="I19:I20"/>
    <mergeCell ref="D37:D42"/>
    <mergeCell ref="I9:I10"/>
    <mergeCell ref="A13:A18"/>
    <mergeCell ref="C7:C12"/>
    <mergeCell ref="A43:A48"/>
    <mergeCell ref="E7:E12"/>
    <mergeCell ref="I11:I12"/>
    <mergeCell ref="G43:G48"/>
    <mergeCell ref="B31:B36"/>
    <mergeCell ref="D31:D36"/>
    <mergeCell ref="E43:E48"/>
    <mergeCell ref="H31:H36"/>
    <mergeCell ref="I47:I48"/>
    <mergeCell ref="A25:A30"/>
    <mergeCell ref="C25:C30"/>
    <mergeCell ref="E19:E24"/>
    <mergeCell ref="I37:I38"/>
    <mergeCell ref="G19:G24"/>
    <mergeCell ref="G37:G42"/>
    <mergeCell ref="I39:I40"/>
    <mergeCell ref="H7:H12"/>
    <mergeCell ref="D43:D48"/>
    <mergeCell ref="F43:F48"/>
    <mergeCell ref="I23:I24"/>
    <mergeCell ref="B19:B24"/>
    <mergeCell ref="C13:C18"/>
    <mergeCell ref="I27:I28"/>
    <mergeCell ref="D19:D24"/>
    <mergeCell ref="A31:A36"/>
    <mergeCell ref="C37:C42"/>
    <mergeCell ref="F25:F30"/>
    <mergeCell ref="H25:H30"/>
    <mergeCell ref="I41:I42"/>
    <mergeCell ref="I25:I26"/>
    <mergeCell ref="A7:A12"/>
    <mergeCell ref="I21:I22"/>
    <mergeCell ref="B37:B42"/>
    <mergeCell ref="B13:B18"/>
    <mergeCell ref="C43:C48"/>
    <mergeCell ref="D13:D18"/>
    <mergeCell ref="D7:D12"/>
    <mergeCell ref="I13:I14"/>
    <mergeCell ref="S4:S5"/>
    <mergeCell ref="F13:F18"/>
    <mergeCell ref="H13:H18"/>
    <mergeCell ref="M4:M5"/>
    <mergeCell ref="Y4:Y5"/>
    <mergeCell ref="F37:F42"/>
    <mergeCell ref="E37:E42"/>
  </mergeCells>
  <conditionalFormatting sqref="G4:H4">
    <cfRule type="expression" priority="36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37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38" dxfId="9104">
      <formula>AND(G4&lt;&gt;"--:--",#REF!&lt;&gt;"--:--",ABS(TIMEVALUE(G4)-TIMEVALUE(#REF!))*1440&lt;30)</formula>
    </cfRule>
    <cfRule type="containsText" priority="39" operator="containsText" dxfId="9103" text="早退">
      <formula>NOT(ISERROR(SEARCH("早退",G4)))</formula>
    </cfRule>
    <cfRule type="containsText" priority="40" operator="containsText" dxfId="9102" text="迟到">
      <formula>NOT(ISERROR(SEARCH("迟到",G4)))</formula>
    </cfRule>
    <cfRule type="containsText" priority="41" operator="containsText" dxfId="9100" text="缺勤">
      <formula>NOT(ISERROR(SEARCH("缺勤",G4)))</formula>
    </cfRule>
    <cfRule type="containsText" priority="42" operator="containsText" dxfId="9100" text="旷工">
      <formula>NOT(ISERROR(SEARCH("旷工",G4)))</formula>
    </cfRule>
    <cfRule type="containsText" priority="43" operator="containsText" dxfId="9099" text="冲销">
      <formula>NOT(ISERROR(SEARCH("冲销",G4)))</formula>
    </cfRule>
    <cfRule type="containsText" priority="44" operator="containsText" dxfId="9098" text="异常打卡">
      <formula>NOT(ISERROR(SEARCH("异常打卡",G4)))</formula>
    </cfRule>
    <cfRule type="containsText" priority="45" operator="containsText" dxfId="9097" text="正常打卡">
      <formula>NOT(ISERROR(SEARCH("正常打卡",G4)))</formula>
    </cfRule>
  </conditionalFormatting>
  <conditionalFormatting sqref="F5">
    <cfRule type="expression" priority="35" dxfId="9065">
      <formula>F5&lt;F4</formula>
    </cfRule>
  </conditionalFormatting>
  <conditionalFormatting sqref="J7:L7">
    <cfRule type="expression" priority="33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N7:R7">
    <cfRule type="expression" priority="28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T7:X7">
    <cfRule type="expression" priority="25" dxfId="4514">
      <formula>AND(ISNUMBER(TIMEVALUE(LEFT(T7,FIND("(",T7&amp;"(")-1))),ISNUMBER(TIMEVALUE(LEFT(T9,FIND("(",T9&amp;"(")-1))),IF(TIMEVALUE(LEFT(T7,FIND("(",T7&amp;"(")-1))&lt;=TIME(3,59,59),TIMEVALUE(LEFT(T7,FIND("(",T7&amp;"(")-1))+1,TIMEVALUE(LEFT(T7,FIND("(",T7&amp;"(")-1)))+60/1440&lt;IF(TIMEVALUE(LEFT(T9,FIND("(",T9&amp;"(")-1))&lt;=TIME(3,59,59),TIMEVALUE(LEFT(T9,FIND("(",T9&amp;"(")-1))+1,TIMEVALUE(LEFT(T9,FIND("(",T9&amp;"(")-1))))</formula>
    </cfRule>
  </conditionalFormatting>
  <conditionalFormatting sqref="Z7:AD7">
    <cfRule type="expression" priority="22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AF7:AI7">
    <cfRule type="expression" priority="19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J8:L8">
    <cfRule type="expression" priority="34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8:R8">
    <cfRule type="expression" priority="29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T8:X8">
    <cfRule type="expression" priority="26" dxfId="4514">
      <formula>AND(ISNUMBER(TIMEVALUE(LEFT(T8,FIND("(",T8&amp;"(")-1))),ISNUMBER(TIMEVALUE(LEFT(T10,FIND("(",T10&amp;"(")-1))),IF(TIMEVALUE(LEFT(T8,FIND("(",T8&amp;"(")-1))&lt;=TIME(3,59,59),TIMEVALUE(LEFT(T8,FIND("(",T8&amp;"(")-1))+1,TIMEVALUE(LEFT(T8,FIND("(",T8&amp;"(")-1)))-60/1440&gt;IF(TIMEVALUE(LEFT(T10,FIND("(",T10&amp;"(")-1))&lt;=TIME(3,59,59),TIMEVALUE(LEFT(T10,FIND("(",T10&amp;"(")-1))+1,TIMEVALUE(LEFT(T10,FIND("(",T10&amp;"(")-1))))</formula>
    </cfRule>
  </conditionalFormatting>
  <conditionalFormatting sqref="Z8:AD8">
    <cfRule type="expression" priority="23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AF8:AI8">
    <cfRule type="expression" priority="20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F2:F4">
    <cfRule type="expression" priority="46" dxfId="9065">
      <formula>F2&lt;#REF!</formula>
    </cfRule>
  </conditionalFormatting>
  <conditionalFormatting sqref="G7:G48">
    <cfRule type="expression" priority="47" dxfId="9064">
      <formula>G11-F11&gt;0.5</formula>
    </cfRule>
  </conditionalFormatting>
  <conditionalFormatting sqref="J7:L8">
    <cfRule type="expression" priority="30" dxfId="9039">
      <formula>J9="--:--"</formula>
    </cfRule>
  </conditionalFormatting>
  <conditionalFormatting sqref="N7:R8">
    <cfRule type="expression" priority="27" dxfId="9039">
      <formula>N9="--:--"</formula>
    </cfRule>
  </conditionalFormatting>
  <conditionalFormatting sqref="T7:X8">
    <cfRule type="expression" priority="24" dxfId="9039">
      <formula>T9="--:--"</formula>
    </cfRule>
  </conditionalFormatting>
  <conditionalFormatting sqref="Z7:AD8">
    <cfRule type="expression" priority="21" dxfId="9039">
      <formula>Z9="--:--"</formula>
    </cfRule>
  </conditionalFormatting>
  <conditionalFormatting sqref="AF7:AI8">
    <cfRule type="expression" priority="18" dxfId="9039">
      <formula>AF9="--:--"</formula>
    </cfRule>
  </conditionalFormatting>
  <conditionalFormatting sqref="J13:L13 J19:L19 J25:L25 J31:L31 J37:L37 J43:L43">
    <cfRule type="expression" priority="16" dxfId="4514">
      <formula>AND(ISNUMBER(TIMEVALUE(LEFT(J13,FIND("(",J13&amp;"(")-1))),ISNUMBER(TIMEVALUE(LEFT(J15,FIND("(",J15&amp;"(")-1))),IF(TIMEVALUE(LEFT(J13,FIND("(",J13&amp;"(")-1))&lt;=TIME(3,59,59),TIMEVALUE(LEFT(J13,FIND("(",J13&amp;"(")-1))+1,TIMEVALUE(LEFT(J13,FIND("(",J13&amp;"(")-1)))+60/1440&lt;IF(TIMEVALUE(LEFT(J15,FIND("(",J15&amp;"(")-1))&lt;=TIME(3,59,59),TIMEVALUE(LEFT(J15,FIND("(",J15&amp;"(")-1))+1,TIMEVALUE(LEFT(J15,FIND("(",J15&amp;"(")-1))))</formula>
    </cfRule>
  </conditionalFormatting>
  <conditionalFormatting sqref="J13:L14 J19:L20 J25:L26 J31:L32 J37:L38 J43:L44">
    <cfRule type="expression" priority="13" dxfId="9039">
      <formula>J15="--:--"</formula>
    </cfRule>
  </conditionalFormatting>
  <conditionalFormatting sqref="N13:R13 N19:R19 N25:R25 N31:R31 N37:R37 N43:R43">
    <cfRule type="expression" priority="11" dxfId="4514">
      <formula>AND(ISNUMBER(TIMEVALUE(LEFT(N13,FIND("(",N13&amp;"(")-1))),ISNUMBER(TIMEVALUE(LEFT(N15,FIND("(",N15&amp;"(")-1))),IF(TIMEVALUE(LEFT(N13,FIND("(",N13&amp;"(")-1))&lt;=TIME(3,59,59),TIMEVALUE(LEFT(N13,FIND("(",N13&amp;"(")-1))+1,TIMEVALUE(LEFT(N13,FIND("(",N13&amp;"(")-1)))+60/1440&lt;IF(TIMEVALUE(LEFT(N15,FIND("(",N15&amp;"(")-1))&lt;=TIME(3,59,59),TIMEVALUE(LEFT(N15,FIND("(",N15&amp;"(")-1))+1,TIMEVALUE(LEFT(N15,FIND("(",N15&amp;"(")-1))))</formula>
    </cfRule>
  </conditionalFormatting>
  <conditionalFormatting sqref="N13:R14 N19:R20 N25:R26 N31:R32 N37:R38 N43:R44">
    <cfRule type="expression" priority="10" dxfId="9039">
      <formula>N15="--:--"</formula>
    </cfRule>
  </conditionalFormatting>
  <conditionalFormatting sqref="T13:X13 T19:X19 T25:X25 T31:X31 T37:X37 T43:X43">
    <cfRule type="expression" priority="8" dxfId="4514">
      <formula>AND(ISNUMBER(TIMEVALUE(LEFT(T13,FIND("(",T13&amp;"(")-1))),ISNUMBER(TIMEVALUE(LEFT(T15,FIND("(",T15&amp;"(")-1))),IF(TIMEVALUE(LEFT(T13,FIND("(",T13&amp;"(")-1))&lt;=TIME(3,59,59),TIMEVALUE(LEFT(T13,FIND("(",T13&amp;"(")-1))+1,TIMEVALUE(LEFT(T13,FIND("(",T13&amp;"(")-1)))+60/1440&lt;IF(TIMEVALUE(LEFT(T15,FIND("(",T15&amp;"(")-1))&lt;=TIME(3,59,59),TIMEVALUE(LEFT(T15,FIND("(",T15&amp;"(")-1))+1,TIMEVALUE(LEFT(T15,FIND("(",T15&amp;"(")-1))))</formula>
    </cfRule>
  </conditionalFormatting>
  <conditionalFormatting sqref="T13:X14 T19:X20 T25:X26 T31:X32 T37:X38 T43:X44">
    <cfRule type="expression" priority="7" dxfId="9039">
      <formula>T15="--:--"</formula>
    </cfRule>
  </conditionalFormatting>
  <conditionalFormatting sqref="Z13:AD13 Z19:AD19 Z25:AD25 Z31:AD31 Z37:AD37 Z43:AD43">
    <cfRule type="expression" priority="5" dxfId="4514">
      <formula>AND(ISNUMBER(TIMEVALUE(LEFT(Z13,FIND("(",Z13&amp;"(")-1))),ISNUMBER(TIMEVALUE(LEFT(Z15,FIND("(",Z15&amp;"(")-1))),IF(TIMEVALUE(LEFT(Z13,FIND("(",Z13&amp;"(")-1))&lt;=TIME(3,59,59),TIMEVALUE(LEFT(Z13,FIND("(",Z13&amp;"(")-1))+1,TIMEVALUE(LEFT(Z13,FIND("(",Z13&amp;"(")-1)))+60/1440&lt;IF(TIMEVALUE(LEFT(Z15,FIND("(",Z15&amp;"(")-1))&lt;=TIME(3,59,59),TIMEVALUE(LEFT(Z15,FIND("(",Z15&amp;"(")-1))+1,TIMEVALUE(LEFT(Z15,FIND("(",Z15&amp;"(")-1))))</formula>
    </cfRule>
  </conditionalFormatting>
  <conditionalFormatting sqref="Z13:AD14 Z19:AD20 Z25:AD26 Z31:AD32 Z37:AD38 Z43:AD44">
    <cfRule type="expression" priority="4" dxfId="9039">
      <formula>Z15="--:--"</formula>
    </cfRule>
  </conditionalFormatting>
  <conditionalFormatting sqref="AF13:AI13 AF19:AI19 AF25:AI25 AF31:AI31 AF37:AI37 AF43:AI43">
    <cfRule type="expression" priority="2" dxfId="4514">
      <formula>AND(ISNUMBER(TIMEVALUE(LEFT(AF13,FIND("(",AF13&amp;"(")-1))),ISNUMBER(TIMEVALUE(LEFT(AF15,FIND("(",AF15&amp;"(")-1))),IF(TIMEVALUE(LEFT(AF13,FIND("(",AF13&amp;"(")-1))&lt;=TIME(3,59,59),TIMEVALUE(LEFT(AF13,FIND("(",AF13&amp;"(")-1))+1,TIMEVALUE(LEFT(AF13,FIND("(",AF13&amp;"(")-1)))+60/1440&lt;IF(TIMEVALUE(LEFT(AF15,FIND("(",AF15&amp;"(")-1))&lt;=TIME(3,59,59),TIMEVALUE(LEFT(AF15,FIND("(",AF15&amp;"(")-1))+1,TIMEVALUE(LEFT(AF15,FIND("(",AF15&amp;"(")-1))))</formula>
    </cfRule>
  </conditionalFormatting>
  <conditionalFormatting sqref="AF13:AI14 AF19:AI20 AF25:AI26 AF31:AI32 AF37:AI38 AF43:AI44">
    <cfRule type="expression" priority="1" dxfId="9039">
      <formula>AF15="--:--"</formula>
    </cfRule>
  </conditionalFormatting>
  <conditionalFormatting sqref="J14:L14 J20:L20 J26:L26 J32:L32 J38:L38 J44:L44">
    <cfRule type="expression" priority="17" dxfId="4514">
      <formula>AND(ISNUMBER(TIMEVALUE(LEFT(J14,FIND("(",J14&amp;"(")-1))),ISNUMBER(TIMEVALUE(LEFT(J16,FIND("(",J16&amp;"(")-1))),IF(TIMEVALUE(LEFT(J14,FIND("(",J14&amp;"(")-1))&lt;=TIME(3,59,59),TIMEVALUE(LEFT(J14,FIND("(",J14&amp;"(")-1))+1,TIMEVALUE(LEFT(J14,FIND("(",J14&amp;"(")-1)))-60/1440&gt;IF(TIMEVALUE(LEFT(J16,FIND("(",J16&amp;"(")-1))&lt;=TIME(3,59,59),TIMEVALUE(LEFT(J16,FIND("(",J16&amp;"(")-1))+1,TIMEVALUE(LEFT(J16,FIND("(",J16&amp;"(")-1))))</formula>
    </cfRule>
  </conditionalFormatting>
  <conditionalFormatting sqref="N14:R14 N20:R20 N26:R26 N32:R32 N38:R38 N44:R44">
    <cfRule type="expression" priority="12" dxfId="4514">
      <formula>AND(ISNUMBER(TIMEVALUE(LEFT(N14,FIND("(",N14&amp;"(")-1))),ISNUMBER(TIMEVALUE(LEFT(N16,FIND("(",N16&amp;"(")-1))),IF(TIMEVALUE(LEFT(N14,FIND("(",N14&amp;"(")-1))&lt;=TIME(3,59,59),TIMEVALUE(LEFT(N14,FIND("(",N14&amp;"(")-1))+1,TIMEVALUE(LEFT(N14,FIND("(",N14&amp;"(")-1)))-60/1440&gt;IF(TIMEVALUE(LEFT(N16,FIND("(",N16&amp;"(")-1))&lt;=TIME(3,59,59),TIMEVALUE(LEFT(N16,FIND("(",N16&amp;"(")-1))+1,TIMEVALUE(LEFT(N16,FIND("(",N16&amp;"(")-1))))</formula>
    </cfRule>
  </conditionalFormatting>
  <conditionalFormatting sqref="T14:X14 T20:X20 T26:X26 T32:X32 T38:X38 T44:X44">
    <cfRule type="expression" priority="9" dxfId="4514">
      <formula>AND(ISNUMBER(TIMEVALUE(LEFT(T14,FIND("(",T14&amp;"(")-1))),ISNUMBER(TIMEVALUE(LEFT(T16,FIND("(",T16&amp;"(")-1))),IF(TIMEVALUE(LEFT(T14,FIND("(",T14&amp;"(")-1))&lt;=TIME(3,59,59),TIMEVALUE(LEFT(T14,FIND("(",T14&amp;"(")-1))+1,TIMEVALUE(LEFT(T14,FIND("(",T14&amp;"(")-1)))-60/1440&gt;IF(TIMEVALUE(LEFT(T16,FIND("(",T16&amp;"(")-1))&lt;=TIME(3,59,59),TIMEVALUE(LEFT(T16,FIND("(",T16&amp;"(")-1))+1,TIMEVALUE(LEFT(T16,FIND("(",T16&amp;"(")-1))))</formula>
    </cfRule>
  </conditionalFormatting>
  <conditionalFormatting sqref="Z14:AD14 Z20:AD20 Z26:AD26 Z32:AD32 Z38:AD38 Z44:AD44">
    <cfRule type="expression" priority="6" dxfId="4514">
      <formula>AND(ISNUMBER(TIMEVALUE(LEFT(Z14,FIND("(",Z14&amp;"(")-1))),ISNUMBER(TIMEVALUE(LEFT(Z16,FIND("(",Z16&amp;"(")-1))),IF(TIMEVALUE(LEFT(Z14,FIND("(",Z14&amp;"(")-1))&lt;=TIME(3,59,59),TIMEVALUE(LEFT(Z14,FIND("(",Z14&amp;"(")-1))+1,TIMEVALUE(LEFT(Z14,FIND("(",Z14&amp;"(")-1)))-60/1440&gt;IF(TIMEVALUE(LEFT(Z16,FIND("(",Z16&amp;"(")-1))&lt;=TIME(3,59,59),TIMEVALUE(LEFT(Z16,FIND("(",Z16&amp;"(")-1))+1,TIMEVALUE(LEFT(Z16,FIND("(",Z16&amp;"(")-1))))</formula>
    </cfRule>
  </conditionalFormatting>
  <conditionalFormatting sqref="AF14:AI14 AF20:AI20 AF26:AI26 AF32:AI32 AF38:AI38 AF44:AI44">
    <cfRule type="expression" priority="3" dxfId="4514">
      <formula>AND(ISNUMBER(TIMEVALUE(LEFT(AF14,FIND("(",AF14&amp;"(")-1))),ISNUMBER(TIMEVALUE(LEFT(AF16,FIND("(",AF16&amp;"(")-1))),IF(TIMEVALUE(LEFT(AF14,FIND("(",AF14&amp;"(")-1))&lt;=TIME(3,59,59),TIMEVALUE(LEFT(AF14,FIND("(",AF14&amp;"(")-1))+1,TIMEVALUE(LEFT(AF14,FIND("(",AF14&amp;"(")-1)))-60/1440&gt;IF(TIMEVALUE(LEFT(AF16,FIND("(",AF16&amp;"(")-1))&lt;=TIME(3,59,59),TIMEVALUE(LEFT(AF16,FIND("(",AF16&amp;"(")-1))+1,TIMEVALUE(LEFT(AF16,FIND("(",AF16&amp;"(")-1))))</formula>
    </cfRule>
  </conditionalFormatting>
  <pageMargins left="0.25" right="0.25" top="0.75" bottom="0.75" header="0.3" footer="0.3"/>
  <pageSetup orientation="landscape" paperSize="77" scale="37" fitToHeight="22"/>
</worksheet>
</file>

<file path=xl/worksheets/sheet6.xml><?xml version="1.0" encoding="utf-8"?>
<worksheet xmlns="http://schemas.openxmlformats.org/spreadsheetml/2006/main">
  <sheetPr codeName="Sheet9">
    <outlinePr summaryBelow="0"/>
    <pageSetUpPr fitToPage="1"/>
  </sheetPr>
  <dimension ref="A1:AI30"/>
  <sheetViews>
    <sheetView workbookViewId="0">
      <pane ySplit="6" topLeftCell="A7" activePane="bottomLeft" state="frozen"/>
      <selection pane="bottomLeft" activeCell="I7" sqref="I7:AI12"/>
    </sheetView>
  </sheetViews>
  <sheetFormatPr baseColWidth="10" defaultColWidth="9.1640625" defaultRowHeight="14"/>
  <cols>
    <col width="9.5" customWidth="1" style="129" min="2" max="2"/>
    <col width="15.5" customWidth="1" style="129" min="4" max="4"/>
    <col width="16.1640625" customWidth="1" style="129" min="5" max="5"/>
    <col width="20" customWidth="1" style="129" min="6" max="8"/>
    <col width="14.1640625" customWidth="1" style="129" min="9" max="9"/>
    <col width="11.1640625" customWidth="1" style="129" min="10" max="35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</row>
    <row r="4" ht="14" customHeight="1" s="129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31" t="n">
        <v>4</v>
      </c>
      <c r="K4" s="131" t="n">
        <v>5</v>
      </c>
      <c r="L4" s="131" t="n">
        <v>6</v>
      </c>
      <c r="M4" s="132" t="inlineStr">
        <is>
          <t>周末/假期</t>
        </is>
      </c>
      <c r="N4" s="131" t="n">
        <v>2</v>
      </c>
      <c r="O4" s="131" t="n">
        <v>3</v>
      </c>
      <c r="P4" s="131" t="n">
        <v>4</v>
      </c>
      <c r="Q4" s="131" t="n">
        <v>5</v>
      </c>
      <c r="R4" s="131" t="n">
        <v>6</v>
      </c>
      <c r="S4" s="132" t="inlineStr">
        <is>
          <t>周末/假期</t>
        </is>
      </c>
      <c r="T4" s="131" t="n">
        <v>2</v>
      </c>
      <c r="U4" s="131" t="n">
        <v>3</v>
      </c>
      <c r="V4" s="131" t="n">
        <v>4</v>
      </c>
      <c r="W4" s="131" t="n">
        <v>5</v>
      </c>
      <c r="X4" s="131" t="n">
        <v>6</v>
      </c>
      <c r="Y4" s="132" t="inlineStr">
        <is>
          <t>周末/假期</t>
        </is>
      </c>
      <c r="Z4" s="131" t="n">
        <v>2</v>
      </c>
      <c r="AA4" s="131" t="n">
        <v>3</v>
      </c>
      <c r="AB4" s="131" t="n">
        <v>4</v>
      </c>
      <c r="AC4" s="131" t="n">
        <v>5</v>
      </c>
      <c r="AD4" s="131" t="n">
        <v>6</v>
      </c>
      <c r="AE4" s="132" t="inlineStr">
        <is>
          <t>周末/假期</t>
        </is>
      </c>
      <c r="AF4" s="131" t="n">
        <v>2</v>
      </c>
      <c r="AG4" s="131" t="n">
        <v>3</v>
      </c>
      <c r="AH4" s="131" t="n">
        <v>4</v>
      </c>
      <c r="AI4" s="131" t="n">
        <v>5</v>
      </c>
    </row>
    <row r="5" ht="39" customHeight="1" s="129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46113</v>
      </c>
      <c r="K5" s="134" t="n">
        <v>46114</v>
      </c>
      <c r="L5" s="134" t="n">
        <v>46115</v>
      </c>
      <c r="N5" s="134" t="n">
        <v>46118</v>
      </c>
      <c r="O5" s="134" t="n">
        <v>46119</v>
      </c>
      <c r="P5" s="134" t="n">
        <v>46120</v>
      </c>
      <c r="Q5" s="134" t="n">
        <v>46121</v>
      </c>
      <c r="R5" s="134" t="n">
        <v>46122</v>
      </c>
      <c r="T5" s="134" t="n">
        <v>46125</v>
      </c>
      <c r="U5" s="134" t="n">
        <v>46126</v>
      </c>
      <c r="V5" s="134" t="n">
        <v>46127</v>
      </c>
      <c r="W5" s="134" t="n">
        <v>46128</v>
      </c>
      <c r="X5" s="134" t="n">
        <v>46129</v>
      </c>
      <c r="Z5" s="134" t="n">
        <v>46132</v>
      </c>
      <c r="AA5" s="134" t="n">
        <v>46133</v>
      </c>
      <c r="AB5" s="134" t="n">
        <v>46134</v>
      </c>
      <c r="AC5" s="134" t="n">
        <v>46135</v>
      </c>
      <c r="AD5" s="134" t="n">
        <v>46136</v>
      </c>
      <c r="AF5" s="134" t="n">
        <v>46139</v>
      </c>
      <c r="AG5" s="134" t="n">
        <v>46140</v>
      </c>
      <c r="AH5" s="134" t="n">
        <v>46141</v>
      </c>
      <c r="AI5" s="134" t="n">
        <v>46142</v>
      </c>
    </row>
    <row r="6" ht="16" customHeight="1" s="129">
      <c r="A6" s="167" t="inlineStr">
        <is>
          <t>新业务事业群</t>
        </is>
      </c>
      <c r="B6" s="168" t="n"/>
      <c r="C6" s="168" t="n"/>
      <c r="D6" s="168" t="n"/>
      <c r="E6" s="168" t="n"/>
      <c r="F6" s="168" t="n"/>
      <c r="G6" s="168" t="n"/>
      <c r="H6" s="168" t="n"/>
      <c r="I6" s="168" t="n"/>
      <c r="J6" s="168" t="n"/>
      <c r="K6" s="168" t="n"/>
      <c r="L6" s="168" t="n"/>
      <c r="M6" s="168" t="n"/>
      <c r="N6" s="168" t="n"/>
      <c r="O6" s="168" t="n"/>
      <c r="P6" s="168" t="n"/>
      <c r="Q6" s="168" t="n"/>
      <c r="R6" s="168" t="n"/>
      <c r="S6" s="168" t="n"/>
      <c r="T6" s="168" t="n"/>
      <c r="U6" s="168" t="n"/>
      <c r="V6" s="168" t="n"/>
      <c r="W6" s="168" t="n"/>
      <c r="X6" s="168" t="n"/>
      <c r="Y6" s="168" t="n"/>
      <c r="Z6" s="168" t="n"/>
      <c r="AA6" s="168" t="n"/>
      <c r="AB6" s="168" t="n"/>
      <c r="AC6" s="168" t="n"/>
      <c r="AD6" s="168" t="n"/>
      <c r="AE6" s="168" t="n"/>
      <c r="AF6" s="168" t="n"/>
      <c r="AG6" s="168" t="n"/>
      <c r="AH6" s="168" t="n"/>
      <c r="AI6" s="169" t="n"/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</sheetData>
  <mergeCells count="49">
    <mergeCell ref="B7:B12"/>
    <mergeCell ref="B25:B30"/>
    <mergeCell ref="F7:F12"/>
    <mergeCell ref="F19:F24"/>
    <mergeCell ref="F25:F30"/>
    <mergeCell ref="I7:I8"/>
    <mergeCell ref="H25:H30"/>
    <mergeCell ref="I25:I26"/>
    <mergeCell ref="E13:E18"/>
    <mergeCell ref="G13:G18"/>
    <mergeCell ref="A7:A12"/>
    <mergeCell ref="G7:G12"/>
    <mergeCell ref="A25:A30"/>
    <mergeCell ref="I21:I22"/>
    <mergeCell ref="C25:C30"/>
    <mergeCell ref="A6:AI6"/>
    <mergeCell ref="I17:I18"/>
    <mergeCell ref="E19:E24"/>
    <mergeCell ref="G19:G24"/>
    <mergeCell ref="B13:B18"/>
    <mergeCell ref="D13:D18"/>
    <mergeCell ref="D7:D12"/>
    <mergeCell ref="I13:I14"/>
    <mergeCell ref="H7:H12"/>
    <mergeCell ref="I29:I30"/>
    <mergeCell ref="S4:S5"/>
    <mergeCell ref="I23:I24"/>
    <mergeCell ref="D25:D30"/>
    <mergeCell ref="B19:B24"/>
    <mergeCell ref="I19:I20"/>
    <mergeCell ref="H19:H24"/>
    <mergeCell ref="F13:F18"/>
    <mergeCell ref="H13:H18"/>
    <mergeCell ref="C13:C18"/>
    <mergeCell ref="M4:M5"/>
    <mergeCell ref="I9:I10"/>
    <mergeCell ref="A13:A18"/>
    <mergeCell ref="C7:C12"/>
    <mergeCell ref="Y4:Y5"/>
    <mergeCell ref="AE4:AE5"/>
    <mergeCell ref="E7:E12"/>
    <mergeCell ref="E25:E30"/>
    <mergeCell ref="G25:G30"/>
    <mergeCell ref="I15:I16"/>
    <mergeCell ref="A19:A24"/>
    <mergeCell ref="I11:I12"/>
    <mergeCell ref="C19:C24"/>
    <mergeCell ref="I27:I28"/>
    <mergeCell ref="D19:D24"/>
  </mergeCells>
  <conditionalFormatting sqref="G4:H4">
    <cfRule type="expression" priority="36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37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38" dxfId="9104">
      <formula>AND(G4&lt;&gt;"--:--",#REF!&lt;&gt;"--:--",ABS(TIMEVALUE(G4)-TIMEVALUE(#REF!))*1440&lt;30)</formula>
    </cfRule>
    <cfRule type="containsText" priority="39" operator="containsText" dxfId="9103" text="早退">
      <formula>NOT(ISERROR(SEARCH("早退",G4)))</formula>
    </cfRule>
    <cfRule type="containsText" priority="40" operator="containsText" dxfId="9102" text="迟到">
      <formula>NOT(ISERROR(SEARCH("迟到",G4)))</formula>
    </cfRule>
    <cfRule type="containsText" priority="41" operator="containsText" dxfId="9100" text="缺勤">
      <formula>NOT(ISERROR(SEARCH("缺勤",G4)))</formula>
    </cfRule>
    <cfRule type="containsText" priority="42" operator="containsText" dxfId="9100" text="旷工">
      <formula>NOT(ISERROR(SEARCH("旷工",G4)))</formula>
    </cfRule>
    <cfRule type="containsText" priority="43" operator="containsText" dxfId="9099" text="冲销">
      <formula>NOT(ISERROR(SEARCH("冲销",G4)))</formula>
    </cfRule>
    <cfRule type="containsText" priority="44" operator="containsText" dxfId="9098" text="异常打卡">
      <formula>NOT(ISERROR(SEARCH("异常打卡",G4)))</formula>
    </cfRule>
    <cfRule type="containsText" priority="45" operator="containsText" dxfId="9097" text="正常打卡">
      <formula>NOT(ISERROR(SEARCH("正常打卡",G4)))</formula>
    </cfRule>
  </conditionalFormatting>
  <conditionalFormatting sqref="F5">
    <cfRule type="expression" priority="35" dxfId="9065">
      <formula>F5&lt;F4</formula>
    </cfRule>
  </conditionalFormatting>
  <conditionalFormatting sqref="J7:L7">
    <cfRule type="expression" priority="33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N7:R7">
    <cfRule type="expression" priority="28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T7:X7">
    <cfRule type="expression" priority="25" dxfId="4514">
      <formula>AND(ISNUMBER(TIMEVALUE(LEFT(T7,FIND("(",T7&amp;"(")-1))),ISNUMBER(TIMEVALUE(LEFT(T9,FIND("(",T9&amp;"(")-1))),IF(TIMEVALUE(LEFT(T7,FIND("(",T7&amp;"(")-1))&lt;=TIME(3,59,59),TIMEVALUE(LEFT(T7,FIND("(",T7&amp;"(")-1))+1,TIMEVALUE(LEFT(T7,FIND("(",T7&amp;"(")-1)))+60/1440&lt;IF(TIMEVALUE(LEFT(T9,FIND("(",T9&amp;"(")-1))&lt;=TIME(3,59,59),TIMEVALUE(LEFT(T9,FIND("(",T9&amp;"(")-1))+1,TIMEVALUE(LEFT(T9,FIND("(",T9&amp;"(")-1))))</formula>
    </cfRule>
  </conditionalFormatting>
  <conditionalFormatting sqref="Z7:AD7">
    <cfRule type="expression" priority="22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AF7:AI7">
    <cfRule type="expression" priority="19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J8:L8">
    <cfRule type="expression" priority="34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8:R8">
    <cfRule type="expression" priority="29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T8:X8">
    <cfRule type="expression" priority="26" dxfId="4514">
      <formula>AND(ISNUMBER(TIMEVALUE(LEFT(T8,FIND("(",T8&amp;"(")-1))),ISNUMBER(TIMEVALUE(LEFT(T10,FIND("(",T10&amp;"(")-1))),IF(TIMEVALUE(LEFT(T8,FIND("(",T8&amp;"(")-1))&lt;=TIME(3,59,59),TIMEVALUE(LEFT(T8,FIND("(",T8&amp;"(")-1))+1,TIMEVALUE(LEFT(T8,FIND("(",T8&amp;"(")-1)))-60/1440&gt;IF(TIMEVALUE(LEFT(T10,FIND("(",T10&amp;"(")-1))&lt;=TIME(3,59,59),TIMEVALUE(LEFT(T10,FIND("(",T10&amp;"(")-1))+1,TIMEVALUE(LEFT(T10,FIND("(",T10&amp;"(")-1))))</formula>
    </cfRule>
  </conditionalFormatting>
  <conditionalFormatting sqref="Z8:AD8">
    <cfRule type="expression" priority="23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AF8:AI8">
    <cfRule type="expression" priority="20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F2:F4">
    <cfRule type="expression" priority="46" dxfId="9065">
      <formula>F2&lt;#REF!</formula>
    </cfRule>
  </conditionalFormatting>
  <conditionalFormatting sqref="G7:G30">
    <cfRule type="expression" priority="47" dxfId="9064">
      <formula>G11-F11&gt;0.5</formula>
    </cfRule>
  </conditionalFormatting>
  <conditionalFormatting sqref="J7:L8">
    <cfRule type="expression" priority="30" dxfId="9039">
      <formula>J9="--:--"</formula>
    </cfRule>
  </conditionalFormatting>
  <conditionalFormatting sqref="N7:R8">
    <cfRule type="expression" priority="27" dxfId="9039">
      <formula>N9="--:--"</formula>
    </cfRule>
  </conditionalFormatting>
  <conditionalFormatting sqref="T7:X8">
    <cfRule type="expression" priority="24" dxfId="9039">
      <formula>T9="--:--"</formula>
    </cfRule>
  </conditionalFormatting>
  <conditionalFormatting sqref="Z7:AD8">
    <cfRule type="expression" priority="21" dxfId="9039">
      <formula>Z9="--:--"</formula>
    </cfRule>
  </conditionalFormatting>
  <conditionalFormatting sqref="AF7:AI8">
    <cfRule type="expression" priority="18" dxfId="9039">
      <formula>AF9="--:--"</formula>
    </cfRule>
  </conditionalFormatting>
  <conditionalFormatting sqref="J13:L13 J19:L19 J25:L25">
    <cfRule type="expression" priority="16" dxfId="4514">
      <formula>AND(ISNUMBER(TIMEVALUE(LEFT(J13,FIND("(",J13&amp;"(")-1))),ISNUMBER(TIMEVALUE(LEFT(J15,FIND("(",J15&amp;"(")-1))),IF(TIMEVALUE(LEFT(J13,FIND("(",J13&amp;"(")-1))&lt;=TIME(3,59,59),TIMEVALUE(LEFT(J13,FIND("(",J13&amp;"(")-1))+1,TIMEVALUE(LEFT(J13,FIND("(",J13&amp;"(")-1)))+60/1440&lt;IF(TIMEVALUE(LEFT(J15,FIND("(",J15&amp;"(")-1))&lt;=TIME(3,59,59),TIMEVALUE(LEFT(J15,FIND("(",J15&amp;"(")-1))+1,TIMEVALUE(LEFT(J15,FIND("(",J15&amp;"(")-1))))</formula>
    </cfRule>
  </conditionalFormatting>
  <conditionalFormatting sqref="J13:L14 J19:L20 J25:L26">
    <cfRule type="expression" priority="13" dxfId="9039">
      <formula>J15="--:--"</formula>
    </cfRule>
  </conditionalFormatting>
  <conditionalFormatting sqref="N13:R13 N19:R19 N25:R25">
    <cfRule type="expression" priority="11" dxfId="4514">
      <formula>AND(ISNUMBER(TIMEVALUE(LEFT(N13,FIND("(",N13&amp;"(")-1))),ISNUMBER(TIMEVALUE(LEFT(N15,FIND("(",N15&amp;"(")-1))),IF(TIMEVALUE(LEFT(N13,FIND("(",N13&amp;"(")-1))&lt;=TIME(3,59,59),TIMEVALUE(LEFT(N13,FIND("(",N13&amp;"(")-1))+1,TIMEVALUE(LEFT(N13,FIND("(",N13&amp;"(")-1)))+60/1440&lt;IF(TIMEVALUE(LEFT(N15,FIND("(",N15&amp;"(")-1))&lt;=TIME(3,59,59),TIMEVALUE(LEFT(N15,FIND("(",N15&amp;"(")-1))+1,TIMEVALUE(LEFT(N15,FIND("(",N15&amp;"(")-1))))</formula>
    </cfRule>
  </conditionalFormatting>
  <conditionalFormatting sqref="N13:R14 N19:R20 N25:R26">
    <cfRule type="expression" priority="10" dxfId="9039">
      <formula>N15="--:--"</formula>
    </cfRule>
  </conditionalFormatting>
  <conditionalFormatting sqref="T13:X13 T19:X19 T25:X25">
    <cfRule type="expression" priority="8" dxfId="4514">
      <formula>AND(ISNUMBER(TIMEVALUE(LEFT(T13,FIND("(",T13&amp;"(")-1))),ISNUMBER(TIMEVALUE(LEFT(T15,FIND("(",T15&amp;"(")-1))),IF(TIMEVALUE(LEFT(T13,FIND("(",T13&amp;"(")-1))&lt;=TIME(3,59,59),TIMEVALUE(LEFT(T13,FIND("(",T13&amp;"(")-1))+1,TIMEVALUE(LEFT(T13,FIND("(",T13&amp;"(")-1)))+60/1440&lt;IF(TIMEVALUE(LEFT(T15,FIND("(",T15&amp;"(")-1))&lt;=TIME(3,59,59),TIMEVALUE(LEFT(T15,FIND("(",T15&amp;"(")-1))+1,TIMEVALUE(LEFT(T15,FIND("(",T15&amp;"(")-1))))</formula>
    </cfRule>
  </conditionalFormatting>
  <conditionalFormatting sqref="T13:X14 T19:X20 T25:X26">
    <cfRule type="expression" priority="7" dxfId="9039">
      <formula>T15="--:--"</formula>
    </cfRule>
  </conditionalFormatting>
  <conditionalFormatting sqref="Z13:AD13 Z19:AD19 Z25:AD25">
    <cfRule type="expression" priority="5" dxfId="4514">
      <formula>AND(ISNUMBER(TIMEVALUE(LEFT(Z13,FIND("(",Z13&amp;"(")-1))),ISNUMBER(TIMEVALUE(LEFT(Z15,FIND("(",Z15&amp;"(")-1))),IF(TIMEVALUE(LEFT(Z13,FIND("(",Z13&amp;"(")-1))&lt;=TIME(3,59,59),TIMEVALUE(LEFT(Z13,FIND("(",Z13&amp;"(")-1))+1,TIMEVALUE(LEFT(Z13,FIND("(",Z13&amp;"(")-1)))+60/1440&lt;IF(TIMEVALUE(LEFT(Z15,FIND("(",Z15&amp;"(")-1))&lt;=TIME(3,59,59),TIMEVALUE(LEFT(Z15,FIND("(",Z15&amp;"(")-1))+1,TIMEVALUE(LEFT(Z15,FIND("(",Z15&amp;"(")-1))))</formula>
    </cfRule>
  </conditionalFormatting>
  <conditionalFormatting sqref="Z13:AD14 Z19:AD20 Z25:AD26">
    <cfRule type="expression" priority="4" dxfId="9039">
      <formula>Z15="--:--"</formula>
    </cfRule>
  </conditionalFormatting>
  <conditionalFormatting sqref="AF13:AI13 AF19:AI19 AF25:AI25">
    <cfRule type="expression" priority="2" dxfId="4514">
      <formula>AND(ISNUMBER(TIMEVALUE(LEFT(AF13,FIND("(",AF13&amp;"(")-1))),ISNUMBER(TIMEVALUE(LEFT(AF15,FIND("(",AF15&amp;"(")-1))),IF(TIMEVALUE(LEFT(AF13,FIND("(",AF13&amp;"(")-1))&lt;=TIME(3,59,59),TIMEVALUE(LEFT(AF13,FIND("(",AF13&amp;"(")-1))+1,TIMEVALUE(LEFT(AF13,FIND("(",AF13&amp;"(")-1)))+60/1440&lt;IF(TIMEVALUE(LEFT(AF15,FIND("(",AF15&amp;"(")-1))&lt;=TIME(3,59,59),TIMEVALUE(LEFT(AF15,FIND("(",AF15&amp;"(")-1))+1,TIMEVALUE(LEFT(AF15,FIND("(",AF15&amp;"(")-1))))</formula>
    </cfRule>
  </conditionalFormatting>
  <conditionalFormatting sqref="AF13:AI14 AF19:AI20 AF25:AI26">
    <cfRule type="expression" priority="1" dxfId="9039">
      <formula>AF15="--:--"</formula>
    </cfRule>
  </conditionalFormatting>
  <conditionalFormatting sqref="J14:L14 J20:L20 J26:L26">
    <cfRule type="expression" priority="17" dxfId="4514">
      <formula>AND(ISNUMBER(TIMEVALUE(LEFT(J14,FIND("(",J14&amp;"(")-1))),ISNUMBER(TIMEVALUE(LEFT(J16,FIND("(",J16&amp;"(")-1))),IF(TIMEVALUE(LEFT(J14,FIND("(",J14&amp;"(")-1))&lt;=TIME(3,59,59),TIMEVALUE(LEFT(J14,FIND("(",J14&amp;"(")-1))+1,TIMEVALUE(LEFT(J14,FIND("(",J14&amp;"(")-1)))-60/1440&gt;IF(TIMEVALUE(LEFT(J16,FIND("(",J16&amp;"(")-1))&lt;=TIME(3,59,59),TIMEVALUE(LEFT(J16,FIND("(",J16&amp;"(")-1))+1,TIMEVALUE(LEFT(J16,FIND("(",J16&amp;"(")-1))))</formula>
    </cfRule>
  </conditionalFormatting>
  <conditionalFormatting sqref="N14:R14 N20:R20 N26:R26">
    <cfRule type="expression" priority="12" dxfId="4514">
      <formula>AND(ISNUMBER(TIMEVALUE(LEFT(N14,FIND("(",N14&amp;"(")-1))),ISNUMBER(TIMEVALUE(LEFT(N16,FIND("(",N16&amp;"(")-1))),IF(TIMEVALUE(LEFT(N14,FIND("(",N14&amp;"(")-1))&lt;=TIME(3,59,59),TIMEVALUE(LEFT(N14,FIND("(",N14&amp;"(")-1))+1,TIMEVALUE(LEFT(N14,FIND("(",N14&amp;"(")-1)))-60/1440&gt;IF(TIMEVALUE(LEFT(N16,FIND("(",N16&amp;"(")-1))&lt;=TIME(3,59,59),TIMEVALUE(LEFT(N16,FIND("(",N16&amp;"(")-1))+1,TIMEVALUE(LEFT(N16,FIND("(",N16&amp;"(")-1))))</formula>
    </cfRule>
  </conditionalFormatting>
  <conditionalFormatting sqref="T14:X14 T20:X20 T26:X26">
    <cfRule type="expression" priority="9" dxfId="4514">
      <formula>AND(ISNUMBER(TIMEVALUE(LEFT(T14,FIND("(",T14&amp;"(")-1))),ISNUMBER(TIMEVALUE(LEFT(T16,FIND("(",T16&amp;"(")-1))),IF(TIMEVALUE(LEFT(T14,FIND("(",T14&amp;"(")-1))&lt;=TIME(3,59,59),TIMEVALUE(LEFT(T14,FIND("(",T14&amp;"(")-1))+1,TIMEVALUE(LEFT(T14,FIND("(",T14&amp;"(")-1)))-60/1440&gt;IF(TIMEVALUE(LEFT(T16,FIND("(",T16&amp;"(")-1))&lt;=TIME(3,59,59),TIMEVALUE(LEFT(T16,FIND("(",T16&amp;"(")-1))+1,TIMEVALUE(LEFT(T16,FIND("(",T16&amp;"(")-1))))</formula>
    </cfRule>
  </conditionalFormatting>
  <conditionalFormatting sqref="Z14:AD14 Z20:AD20 Z26:AD26">
    <cfRule type="expression" priority="6" dxfId="4514">
      <formula>AND(ISNUMBER(TIMEVALUE(LEFT(Z14,FIND("(",Z14&amp;"(")-1))),ISNUMBER(TIMEVALUE(LEFT(Z16,FIND("(",Z16&amp;"(")-1))),IF(TIMEVALUE(LEFT(Z14,FIND("(",Z14&amp;"(")-1))&lt;=TIME(3,59,59),TIMEVALUE(LEFT(Z14,FIND("(",Z14&amp;"(")-1))+1,TIMEVALUE(LEFT(Z14,FIND("(",Z14&amp;"(")-1)))-60/1440&gt;IF(TIMEVALUE(LEFT(Z16,FIND("(",Z16&amp;"(")-1))&lt;=TIME(3,59,59),TIMEVALUE(LEFT(Z16,FIND("(",Z16&amp;"(")-1))+1,TIMEVALUE(LEFT(Z16,FIND("(",Z16&amp;"(")-1))))</formula>
    </cfRule>
  </conditionalFormatting>
  <conditionalFormatting sqref="AF14:AI14 AF20:AI20 AF26:AI26">
    <cfRule type="expression" priority="3" dxfId="4514">
      <formula>AND(ISNUMBER(TIMEVALUE(LEFT(AF14,FIND("(",AF14&amp;"(")-1))),ISNUMBER(TIMEVALUE(LEFT(AF16,FIND("(",AF16&amp;"(")-1))),IF(TIMEVALUE(LEFT(AF14,FIND("(",AF14&amp;"(")-1))&lt;=TIME(3,59,59),TIMEVALUE(LEFT(AF14,FIND("(",AF14&amp;"(")-1))+1,TIMEVALUE(LEFT(AF14,FIND("(",AF14&amp;"(")-1)))-60/1440&gt;IF(TIMEVALUE(LEFT(AF16,FIND("(",AF16&amp;"(")-1))&lt;=TIME(3,59,59),TIMEVALUE(LEFT(AF16,FIND("(",AF16&amp;"(")-1))+1,TIMEVALUE(LEFT(AF16,FIND("(",AF16&amp;"(")-1))))</formula>
    </cfRule>
  </conditionalFormatting>
  <pageMargins left="0.25" right="0.25" top="0.75" bottom="0.75" header="0.3" footer="0.3"/>
  <pageSetup orientation="landscape" paperSize="77" scale="37" fitToHeight="22"/>
</worksheet>
</file>

<file path=xl/worksheets/sheet7.xml><?xml version="1.0" encoding="utf-8"?>
<worksheet xmlns="http://schemas.openxmlformats.org/spreadsheetml/2006/main">
  <sheetPr codeName="Sheet10">
    <outlinePr summaryBelow="0"/>
    <pageSetUpPr fitToPage="1"/>
  </sheetPr>
  <dimension ref="A1:AI360"/>
  <sheetViews>
    <sheetView workbookViewId="0">
      <pane ySplit="6" topLeftCell="A7" activePane="bottomLeft" state="frozen"/>
      <selection pane="bottomLeft" activeCell="O34" sqref="O34"/>
    </sheetView>
  </sheetViews>
  <sheetFormatPr baseColWidth="10" defaultColWidth="9.1640625" defaultRowHeight="14"/>
  <cols>
    <col width="9.5" customWidth="1" style="129" min="2" max="2"/>
    <col width="15.5" customWidth="1" style="129" min="4" max="4"/>
    <col width="16.1640625" customWidth="1" style="129" min="5" max="5"/>
    <col width="20" customWidth="1" style="129" min="6" max="8"/>
    <col width="14.1640625" customWidth="1" style="129" min="9" max="9"/>
    <col width="11.1640625" customWidth="1" style="129" min="10" max="35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</row>
    <row r="4" ht="14" customHeight="1" s="129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31" t="n">
        <v>4</v>
      </c>
      <c r="K4" s="131" t="n">
        <v>5</v>
      </c>
      <c r="L4" s="131" t="n">
        <v>6</v>
      </c>
      <c r="M4" s="132" t="inlineStr">
        <is>
          <t>周末/假期</t>
        </is>
      </c>
      <c r="N4" s="131" t="n">
        <v>2</v>
      </c>
      <c r="O4" s="131" t="n">
        <v>3</v>
      </c>
      <c r="P4" s="131" t="n">
        <v>4</v>
      </c>
      <c r="Q4" s="131" t="n">
        <v>5</v>
      </c>
      <c r="R4" s="131" t="n">
        <v>6</v>
      </c>
      <c r="S4" s="132" t="inlineStr">
        <is>
          <t>周末/假期</t>
        </is>
      </c>
      <c r="T4" s="131" t="n">
        <v>2</v>
      </c>
      <c r="U4" s="131" t="n">
        <v>3</v>
      </c>
      <c r="V4" s="131" t="n">
        <v>4</v>
      </c>
      <c r="W4" s="131" t="n">
        <v>5</v>
      </c>
      <c r="X4" s="131" t="n">
        <v>6</v>
      </c>
      <c r="Y4" s="132" t="inlineStr">
        <is>
          <t>周末/假期</t>
        </is>
      </c>
      <c r="Z4" s="131" t="n">
        <v>2</v>
      </c>
      <c r="AA4" s="131" t="n">
        <v>3</v>
      </c>
      <c r="AB4" s="131" t="n">
        <v>4</v>
      </c>
      <c r="AC4" s="131" t="n">
        <v>5</v>
      </c>
      <c r="AD4" s="131" t="n">
        <v>6</v>
      </c>
      <c r="AE4" s="132" t="inlineStr">
        <is>
          <t>周末/假期</t>
        </is>
      </c>
      <c r="AF4" s="131" t="n">
        <v>2</v>
      </c>
      <c r="AG4" s="131" t="n">
        <v>3</v>
      </c>
      <c r="AH4" s="131" t="n">
        <v>4</v>
      </c>
      <c r="AI4" s="131" t="n">
        <v>5</v>
      </c>
    </row>
    <row r="5" ht="39" customHeight="1" s="129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46113</v>
      </c>
      <c r="K5" s="134" t="n">
        <v>46114</v>
      </c>
      <c r="L5" s="134" t="n">
        <v>46115</v>
      </c>
      <c r="N5" s="134" t="n">
        <v>46118</v>
      </c>
      <c r="O5" s="134" t="n">
        <v>46119</v>
      </c>
      <c r="P5" s="134" t="n">
        <v>46120</v>
      </c>
      <c r="Q5" s="134" t="n">
        <v>46121</v>
      </c>
      <c r="R5" s="134" t="n">
        <v>46122</v>
      </c>
      <c r="T5" s="134" t="n">
        <v>46125</v>
      </c>
      <c r="U5" s="134" t="n">
        <v>46126</v>
      </c>
      <c r="V5" s="134" t="n">
        <v>46127</v>
      </c>
      <c r="W5" s="134" t="n">
        <v>46128</v>
      </c>
      <c r="X5" s="134" t="n">
        <v>46129</v>
      </c>
      <c r="Z5" s="134" t="n">
        <v>46132</v>
      </c>
      <c r="AA5" s="134" t="n">
        <v>46133</v>
      </c>
      <c r="AB5" s="134" t="n">
        <v>46134</v>
      </c>
      <c r="AC5" s="134" t="n">
        <v>46135</v>
      </c>
      <c r="AD5" s="134" t="n">
        <v>46136</v>
      </c>
      <c r="AF5" s="134" t="n">
        <v>46139</v>
      </c>
      <c r="AG5" s="134" t="n">
        <v>46140</v>
      </c>
      <c r="AH5" s="134" t="n">
        <v>46141</v>
      </c>
      <c r="AI5" s="134" t="n">
        <v>46142</v>
      </c>
    </row>
    <row r="6" ht="16" customHeight="1" s="129">
      <c r="A6" s="167" t="inlineStr">
        <is>
          <t>洪恩</t>
        </is>
      </c>
      <c r="B6" s="168" t="n"/>
      <c r="C6" s="168" t="n"/>
      <c r="D6" s="168" t="n"/>
      <c r="E6" s="168" t="n"/>
      <c r="F6" s="168" t="n"/>
      <c r="G6" s="168" t="n"/>
      <c r="H6" s="168" t="n"/>
      <c r="I6" s="168" t="n"/>
      <c r="J6" s="168" t="n"/>
      <c r="K6" s="168" t="n"/>
      <c r="L6" s="168" t="n"/>
      <c r="M6" s="168" t="n"/>
      <c r="N6" s="168" t="n"/>
      <c r="O6" s="168" t="n"/>
      <c r="P6" s="168" t="n"/>
      <c r="Q6" s="168" t="n"/>
      <c r="R6" s="168" t="n"/>
      <c r="S6" s="168" t="n"/>
      <c r="T6" s="168" t="n"/>
      <c r="U6" s="168" t="n"/>
      <c r="V6" s="168" t="n"/>
      <c r="W6" s="168" t="n"/>
      <c r="X6" s="168" t="n"/>
      <c r="Y6" s="168" t="n"/>
      <c r="Z6" s="168" t="n"/>
      <c r="AA6" s="168" t="n"/>
      <c r="AB6" s="168" t="n"/>
      <c r="AC6" s="168" t="n"/>
      <c r="AD6" s="168" t="n"/>
      <c r="AE6" s="168" t="n"/>
      <c r="AF6" s="168" t="n"/>
      <c r="AG6" s="168" t="n"/>
      <c r="AH6" s="168" t="n"/>
      <c r="AI6" s="169" t="n"/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</sheetData>
  <mergeCells count="654">
    <mergeCell ref="H235:H240"/>
    <mergeCell ref="I197:I198"/>
    <mergeCell ref="H91:H96"/>
    <mergeCell ref="B91:B96"/>
    <mergeCell ref="B25:B30"/>
    <mergeCell ref="F289:F294"/>
    <mergeCell ref="A295:A300"/>
    <mergeCell ref="I57:I58"/>
    <mergeCell ref="C265:C270"/>
    <mergeCell ref="I355:I356"/>
    <mergeCell ref="A61:A66"/>
    <mergeCell ref="H157:H162"/>
    <mergeCell ref="I121:I122"/>
    <mergeCell ref="G283:G288"/>
    <mergeCell ref="I357:I358"/>
    <mergeCell ref="B157:B162"/>
    <mergeCell ref="B151:B156"/>
    <mergeCell ref="D151:D156"/>
    <mergeCell ref="A217:A222"/>
    <mergeCell ref="I123:I124"/>
    <mergeCell ref="F259:F264"/>
    <mergeCell ref="G235:G240"/>
    <mergeCell ref="I231:I232"/>
    <mergeCell ref="I187:I188"/>
    <mergeCell ref="G349:G354"/>
    <mergeCell ref="H19:H24"/>
    <mergeCell ref="C181:C186"/>
    <mergeCell ref="H37:H42"/>
    <mergeCell ref="F61:F66"/>
    <mergeCell ref="G163:G168"/>
    <mergeCell ref="E187:E192"/>
    <mergeCell ref="H319:H324"/>
    <mergeCell ref="I335:I336"/>
    <mergeCell ref="D313:D318"/>
    <mergeCell ref="G301:G306"/>
    <mergeCell ref="B79:B84"/>
    <mergeCell ref="D79:D84"/>
    <mergeCell ref="G217:G222"/>
    <mergeCell ref="I213:I214"/>
    <mergeCell ref="E253:E258"/>
    <mergeCell ref="I151:I152"/>
    <mergeCell ref="H43:H48"/>
    <mergeCell ref="I7:I8"/>
    <mergeCell ref="C49:C54"/>
    <mergeCell ref="I305:I306"/>
    <mergeCell ref="G169:G174"/>
    <mergeCell ref="I243:I244"/>
    <mergeCell ref="B145:B150"/>
    <mergeCell ref="I215:I216"/>
    <mergeCell ref="I71:I72"/>
    <mergeCell ref="D145:D150"/>
    <mergeCell ref="D139:D144"/>
    <mergeCell ref="A271:A276"/>
    <mergeCell ref="I307:I308"/>
    <mergeCell ref="F139:F144"/>
    <mergeCell ref="C271:C276"/>
    <mergeCell ref="E265:E270"/>
    <mergeCell ref="I73:I74"/>
    <mergeCell ref="C115:C120"/>
    <mergeCell ref="C31:C36"/>
    <mergeCell ref="H325:H330"/>
    <mergeCell ref="I219:I220"/>
    <mergeCell ref="E31:E36"/>
    <mergeCell ref="C331:C336"/>
    <mergeCell ref="E331:E336"/>
    <mergeCell ref="E97:E102"/>
    <mergeCell ref="B163:B168"/>
    <mergeCell ref="A235:A240"/>
    <mergeCell ref="C91:C96"/>
    <mergeCell ref="I149:I150"/>
    <mergeCell ref="D223:D228"/>
    <mergeCell ref="I195:I196"/>
    <mergeCell ref="I251:I252"/>
    <mergeCell ref="B265:B270"/>
    <mergeCell ref="I189:I190"/>
    <mergeCell ref="F229:F234"/>
    <mergeCell ref="D265:D270"/>
    <mergeCell ref="C355:C360"/>
    <mergeCell ref="I139:I140"/>
    <mergeCell ref="F343:F348"/>
    <mergeCell ref="H343:H348"/>
    <mergeCell ref="I237:I238"/>
    <mergeCell ref="B31:B36"/>
    <mergeCell ref="D31:D36"/>
    <mergeCell ref="A157:A162"/>
    <mergeCell ref="C157:C162"/>
    <mergeCell ref="I203:I204"/>
    <mergeCell ref="E151:E156"/>
    <mergeCell ref="F193:F198"/>
    <mergeCell ref="C259:C264"/>
    <mergeCell ref="H193:H198"/>
    <mergeCell ref="E259:E264"/>
    <mergeCell ref="E19:E24"/>
    <mergeCell ref="I221:I222"/>
    <mergeCell ref="G19:G24"/>
    <mergeCell ref="H349:H354"/>
    <mergeCell ref="I313:I314"/>
    <mergeCell ref="F145:F150"/>
    <mergeCell ref="B181:B186"/>
    <mergeCell ref="G37:G42"/>
    <mergeCell ref="I79:I80"/>
    <mergeCell ref="E319:E324"/>
    <mergeCell ref="G319:G324"/>
    <mergeCell ref="I315:I316"/>
    <mergeCell ref="A175:A180"/>
    <mergeCell ref="I23:I24"/>
    <mergeCell ref="E85:E90"/>
    <mergeCell ref="G85:G90"/>
    <mergeCell ref="I81:I82"/>
    <mergeCell ref="I137:I138"/>
    <mergeCell ref="D211:D216"/>
    <mergeCell ref="F211:F216"/>
    <mergeCell ref="C337:C342"/>
    <mergeCell ref="B49:B54"/>
    <mergeCell ref="I89:I90"/>
    <mergeCell ref="D19:D24"/>
    <mergeCell ref="A289:A294"/>
    <mergeCell ref="E109:E114"/>
    <mergeCell ref="C289:C294"/>
    <mergeCell ref="C145:C150"/>
    <mergeCell ref="I105:I106"/>
    <mergeCell ref="E145:E150"/>
    <mergeCell ref="E139:E144"/>
    <mergeCell ref="B271:B276"/>
    <mergeCell ref="D271:D276"/>
    <mergeCell ref="B115:B120"/>
    <mergeCell ref="I163:I164"/>
    <mergeCell ref="D115:D120"/>
    <mergeCell ref="A241:A246"/>
    <mergeCell ref="A7:A12"/>
    <mergeCell ref="I165:I166"/>
    <mergeCell ref="F301:F306"/>
    <mergeCell ref="I21:I22"/>
    <mergeCell ref="B337:B342"/>
    <mergeCell ref="I263:I264"/>
    <mergeCell ref="F295:F300"/>
    <mergeCell ref="D337:D342"/>
    <mergeCell ref="H295:H300"/>
    <mergeCell ref="D331:D336"/>
    <mergeCell ref="I211:I212"/>
    <mergeCell ref="F331:F336"/>
    <mergeCell ref="B37:B42"/>
    <mergeCell ref="I229:I230"/>
    <mergeCell ref="A307:A312"/>
    <mergeCell ref="H61:H66"/>
    <mergeCell ref="D97:D102"/>
    <mergeCell ref="I265:I266"/>
    <mergeCell ref="F97:F102"/>
    <mergeCell ref="C163:C168"/>
    <mergeCell ref="A223:A228"/>
    <mergeCell ref="G187:G192"/>
    <mergeCell ref="C223:C228"/>
    <mergeCell ref="A163:A168"/>
    <mergeCell ref="I69:I70"/>
    <mergeCell ref="E229:E234"/>
    <mergeCell ref="H217:H222"/>
    <mergeCell ref="G343:G348"/>
    <mergeCell ref="Y4:Y5"/>
    <mergeCell ref="G109:G114"/>
    <mergeCell ref="E289:E294"/>
    <mergeCell ref="B355:B360"/>
    <mergeCell ref="E193:E198"/>
    <mergeCell ref="G193:G198"/>
    <mergeCell ref="G295:G300"/>
    <mergeCell ref="I145:I146"/>
    <mergeCell ref="A127:A132"/>
    <mergeCell ref="B169:B174"/>
    <mergeCell ref="I95:I96"/>
    <mergeCell ref="F19:F24"/>
    <mergeCell ref="I209:I210"/>
    <mergeCell ref="I147:I148"/>
    <mergeCell ref="F283:F288"/>
    <mergeCell ref="F277:F282"/>
    <mergeCell ref="I159:I160"/>
    <mergeCell ref="I97:I98"/>
    <mergeCell ref="D325:D330"/>
    <mergeCell ref="E55:E60"/>
    <mergeCell ref="F325:F330"/>
    <mergeCell ref="F319:F324"/>
    <mergeCell ref="I17:I18"/>
    <mergeCell ref="H49:H54"/>
    <mergeCell ref="I253:I254"/>
    <mergeCell ref="F85:F90"/>
    <mergeCell ref="H85:H90"/>
    <mergeCell ref="G175:G180"/>
    <mergeCell ref="C211:C216"/>
    <mergeCell ref="E211:E216"/>
    <mergeCell ref="B103:B108"/>
    <mergeCell ref="I173:I174"/>
    <mergeCell ref="A313:A318"/>
    <mergeCell ref="I29:I30"/>
    <mergeCell ref="D103:D108"/>
    <mergeCell ref="B205:B210"/>
    <mergeCell ref="D205:D210"/>
    <mergeCell ref="B241:B246"/>
    <mergeCell ref="E277:E282"/>
    <mergeCell ref="I31:I32"/>
    <mergeCell ref="G277:G282"/>
    <mergeCell ref="I329:I330"/>
    <mergeCell ref="B55:B60"/>
    <mergeCell ref="D55:D60"/>
    <mergeCell ref="A121:A126"/>
    <mergeCell ref="I279:I280"/>
    <mergeCell ref="A181:A186"/>
    <mergeCell ref="A115:A120"/>
    <mergeCell ref="D169:D174"/>
    <mergeCell ref="I331:I332"/>
    <mergeCell ref="C229:C234"/>
    <mergeCell ref="I45:I46"/>
    <mergeCell ref="F175:F180"/>
    <mergeCell ref="I281:I282"/>
    <mergeCell ref="H175:H180"/>
    <mergeCell ref="E301:E306"/>
    <mergeCell ref="A337:A342"/>
    <mergeCell ref="B7:B12"/>
    <mergeCell ref="I85:I86"/>
    <mergeCell ref="E67:E72"/>
    <mergeCell ref="A103:A108"/>
    <mergeCell ref="G67:G72"/>
    <mergeCell ref="C103:C108"/>
    <mergeCell ref="G61:G66"/>
    <mergeCell ref="C97:C102"/>
    <mergeCell ref="B307:B312"/>
    <mergeCell ref="B73:B78"/>
    <mergeCell ref="I167:I168"/>
    <mergeCell ref="I161:I162"/>
    <mergeCell ref="I259:I260"/>
    <mergeCell ref="G127:G132"/>
    <mergeCell ref="D259:D264"/>
    <mergeCell ref="D253:D258"/>
    <mergeCell ref="F253:F258"/>
    <mergeCell ref="B289:B294"/>
    <mergeCell ref="F109:F114"/>
    <mergeCell ref="H253:H258"/>
    <mergeCell ref="D289:D294"/>
    <mergeCell ref="H109:H114"/>
    <mergeCell ref="I19:I20"/>
    <mergeCell ref="I261:I262"/>
    <mergeCell ref="H355:H360"/>
    <mergeCell ref="F157:F162"/>
    <mergeCell ref="I319:I320"/>
    <mergeCell ref="C283:C288"/>
    <mergeCell ref="E283:E288"/>
    <mergeCell ref="I179:I180"/>
    <mergeCell ref="G43:G48"/>
    <mergeCell ref="I337:I338"/>
    <mergeCell ref="I287:I288"/>
    <mergeCell ref="C349:C354"/>
    <mergeCell ref="A49:A54"/>
    <mergeCell ref="I103:I104"/>
    <mergeCell ref="I53:I54"/>
    <mergeCell ref="G355:G360"/>
    <mergeCell ref="I351:I352"/>
    <mergeCell ref="A187:A192"/>
    <mergeCell ref="I289:I290"/>
    <mergeCell ref="I345:I346"/>
    <mergeCell ref="C187:C192"/>
    <mergeCell ref="I47:I48"/>
    <mergeCell ref="A205:A210"/>
    <mergeCell ref="F235:F240"/>
    <mergeCell ref="C205:C210"/>
    <mergeCell ref="E205:E210"/>
    <mergeCell ref="I111:I112"/>
    <mergeCell ref="F247:F252"/>
    <mergeCell ref="H241:H246"/>
    <mergeCell ref="D277:D282"/>
    <mergeCell ref="A55:A60"/>
    <mergeCell ref="D43:D48"/>
    <mergeCell ref="H7:H12"/>
    <mergeCell ref="F43:F48"/>
    <mergeCell ref="E133:E138"/>
    <mergeCell ref="G133:G138"/>
    <mergeCell ref="C169:C174"/>
    <mergeCell ref="I63:I64"/>
    <mergeCell ref="E169:E174"/>
    <mergeCell ref="I169:I170"/>
    <mergeCell ref="H307:H312"/>
    <mergeCell ref="D301:D306"/>
    <mergeCell ref="B139:B144"/>
    <mergeCell ref="A265:A270"/>
    <mergeCell ref="D67:D72"/>
    <mergeCell ref="I27:I28"/>
    <mergeCell ref="F67:F72"/>
    <mergeCell ref="I325:I326"/>
    <mergeCell ref="A31:A36"/>
    <mergeCell ref="D295:D300"/>
    <mergeCell ref="C37:C42"/>
    <mergeCell ref="I91:I92"/>
    <mergeCell ref="A73:A78"/>
    <mergeCell ref="I327:I328"/>
    <mergeCell ref="F25:F30"/>
    <mergeCell ref="H25:H30"/>
    <mergeCell ref="I41:I42"/>
    <mergeCell ref="I277:I278"/>
    <mergeCell ref="C235:C240"/>
    <mergeCell ref="F133:F138"/>
    <mergeCell ref="F127:F132"/>
    <mergeCell ref="H127:H132"/>
    <mergeCell ref="G253:G258"/>
    <mergeCell ref="I205:I206"/>
    <mergeCell ref="B229:B234"/>
    <mergeCell ref="C55:C60"/>
    <mergeCell ref="A355:A360"/>
    <mergeCell ref="G121:G126"/>
    <mergeCell ref="I117:I118"/>
    <mergeCell ref="E157:E162"/>
    <mergeCell ref="I55:I56"/>
    <mergeCell ref="B283:B288"/>
    <mergeCell ref="I353:I354"/>
    <mergeCell ref="H247:H252"/>
    <mergeCell ref="D283:D288"/>
    <mergeCell ref="A151:A156"/>
    <mergeCell ref="I59:I60"/>
    <mergeCell ref="F13:F18"/>
    <mergeCell ref="I119:I120"/>
    <mergeCell ref="D193:D198"/>
    <mergeCell ref="H13:H18"/>
    <mergeCell ref="I295:I296"/>
    <mergeCell ref="M4:M5"/>
    <mergeCell ref="I183:I184"/>
    <mergeCell ref="F313:F318"/>
    <mergeCell ref="H313:H318"/>
    <mergeCell ref="I275:I276"/>
    <mergeCell ref="D349:D354"/>
    <mergeCell ref="F349:F354"/>
    <mergeCell ref="E37:E42"/>
    <mergeCell ref="I185:I186"/>
    <mergeCell ref="E235:E240"/>
    <mergeCell ref="H181:H186"/>
    <mergeCell ref="E247:E252"/>
    <mergeCell ref="G247:G252"/>
    <mergeCell ref="G241:G246"/>
    <mergeCell ref="A79:A84"/>
    <mergeCell ref="E13:E18"/>
    <mergeCell ref="G13:G18"/>
    <mergeCell ref="D229:D234"/>
    <mergeCell ref="G7:G12"/>
    <mergeCell ref="B253:B258"/>
    <mergeCell ref="I301:I302"/>
    <mergeCell ref="I239:I240"/>
    <mergeCell ref="I201:I202"/>
    <mergeCell ref="H133:H138"/>
    <mergeCell ref="I43:I44"/>
    <mergeCell ref="I341:I342"/>
    <mergeCell ref="I67:I68"/>
    <mergeCell ref="C109:C114"/>
    <mergeCell ref="A145:A150"/>
    <mergeCell ref="I303:I304"/>
    <mergeCell ref="A139:A144"/>
    <mergeCell ref="C139:C144"/>
    <mergeCell ref="I51:I52"/>
    <mergeCell ref="I107:I108"/>
    <mergeCell ref="I349:I350"/>
    <mergeCell ref="G73:G78"/>
    <mergeCell ref="F199:F204"/>
    <mergeCell ref="H199:H204"/>
    <mergeCell ref="D235:D240"/>
    <mergeCell ref="E325:E330"/>
    <mergeCell ref="G325:G330"/>
    <mergeCell ref="I207:I208"/>
    <mergeCell ref="AE4:AE5"/>
    <mergeCell ref="E25:E30"/>
    <mergeCell ref="E91:E96"/>
    <mergeCell ref="G91:G96"/>
    <mergeCell ref="G25:G30"/>
    <mergeCell ref="B331:B336"/>
    <mergeCell ref="B97:B102"/>
    <mergeCell ref="A229:A234"/>
    <mergeCell ref="I283:I284"/>
    <mergeCell ref="I87:I88"/>
    <mergeCell ref="G151:G156"/>
    <mergeCell ref="D217:D222"/>
    <mergeCell ref="F217:F222"/>
    <mergeCell ref="A343:A348"/>
    <mergeCell ref="C343:C348"/>
    <mergeCell ref="I233:I234"/>
    <mergeCell ref="E343:E348"/>
    <mergeCell ref="I227:I228"/>
    <mergeCell ref="H121:H126"/>
    <mergeCell ref="I347:I348"/>
    <mergeCell ref="I285:I286"/>
    <mergeCell ref="B121:B126"/>
    <mergeCell ref="A6:AI6"/>
    <mergeCell ref="I235:I236"/>
    <mergeCell ref="A193:A198"/>
    <mergeCell ref="C193:C198"/>
    <mergeCell ref="C295:C300"/>
    <mergeCell ref="E295:E300"/>
    <mergeCell ref="H187:H192"/>
    <mergeCell ref="G313:G318"/>
    <mergeCell ref="B187:B192"/>
    <mergeCell ref="I309:I310"/>
    <mergeCell ref="D37:D42"/>
    <mergeCell ref="G79:G84"/>
    <mergeCell ref="I153:I154"/>
    <mergeCell ref="I9:I10"/>
    <mergeCell ref="I311:I312"/>
    <mergeCell ref="B343:B348"/>
    <mergeCell ref="D343:D348"/>
    <mergeCell ref="I217:I218"/>
    <mergeCell ref="F49:F54"/>
    <mergeCell ref="B85:B90"/>
    <mergeCell ref="I77:I78"/>
    <mergeCell ref="I133:I134"/>
    <mergeCell ref="I11:I12"/>
    <mergeCell ref="D85:D90"/>
    <mergeCell ref="A211:A216"/>
    <mergeCell ref="B193:B198"/>
    <mergeCell ref="I75:I76"/>
    <mergeCell ref="I135:I136"/>
    <mergeCell ref="F271:F276"/>
    <mergeCell ref="H271:H276"/>
    <mergeCell ref="H205:H210"/>
    <mergeCell ref="F265:F270"/>
    <mergeCell ref="H265:H270"/>
    <mergeCell ref="I181:I182"/>
    <mergeCell ref="E43:E48"/>
    <mergeCell ref="A277:A282"/>
    <mergeCell ref="H31:H36"/>
    <mergeCell ref="C277:C282"/>
    <mergeCell ref="I223:I224"/>
    <mergeCell ref="G157:G162"/>
    <mergeCell ref="H73:H78"/>
    <mergeCell ref="I37:I38"/>
    <mergeCell ref="G199:G204"/>
    <mergeCell ref="H331:H336"/>
    <mergeCell ref="B175:B180"/>
    <mergeCell ref="I297:I298"/>
    <mergeCell ref="D175:D180"/>
    <mergeCell ref="A301:A306"/>
    <mergeCell ref="D91:D96"/>
    <mergeCell ref="F91:F96"/>
    <mergeCell ref="A331:A336"/>
    <mergeCell ref="I299:I300"/>
    <mergeCell ref="C67:C72"/>
    <mergeCell ref="G265:G270"/>
    <mergeCell ref="C61:C66"/>
    <mergeCell ref="E61:E66"/>
    <mergeCell ref="A97:A102"/>
    <mergeCell ref="I65:I66"/>
    <mergeCell ref="D157:D162"/>
    <mergeCell ref="F151:F156"/>
    <mergeCell ref="C217:C222"/>
    <mergeCell ref="H151:H156"/>
    <mergeCell ref="I129:I130"/>
    <mergeCell ref="E217:E222"/>
    <mergeCell ref="H259:H264"/>
    <mergeCell ref="E127:E132"/>
    <mergeCell ref="B109:B114"/>
    <mergeCell ref="D109:D114"/>
    <mergeCell ref="I225:I226"/>
    <mergeCell ref="H55:H60"/>
    <mergeCell ref="G145:G150"/>
    <mergeCell ref="I141:I142"/>
    <mergeCell ref="B295:B300"/>
    <mergeCell ref="I317:I318"/>
    <mergeCell ref="G181:G186"/>
    <mergeCell ref="I25:I26"/>
    <mergeCell ref="B61:B66"/>
    <mergeCell ref="D61:D66"/>
    <mergeCell ref="I83:I84"/>
    <mergeCell ref="I143:I144"/>
    <mergeCell ref="A283:A288"/>
    <mergeCell ref="I155:I156"/>
    <mergeCell ref="G97:G102"/>
    <mergeCell ref="I93:I94"/>
    <mergeCell ref="D163:D168"/>
    <mergeCell ref="C301:C306"/>
    <mergeCell ref="F79:F84"/>
    <mergeCell ref="H79:H84"/>
    <mergeCell ref="C43:C48"/>
    <mergeCell ref="I157:I158"/>
    <mergeCell ref="I13:I14"/>
    <mergeCell ref="A91:A96"/>
    <mergeCell ref="I249:I250"/>
    <mergeCell ref="S4:S5"/>
    <mergeCell ref="E49:E54"/>
    <mergeCell ref="A85:A90"/>
    <mergeCell ref="G49:G54"/>
    <mergeCell ref="A109:A114"/>
    <mergeCell ref="B211:B216"/>
    <mergeCell ref="H145:H150"/>
    <mergeCell ref="I109:I110"/>
    <mergeCell ref="H139:H144"/>
    <mergeCell ref="E271:E276"/>
    <mergeCell ref="G271:G276"/>
    <mergeCell ref="E115:E120"/>
    <mergeCell ref="G115:G120"/>
    <mergeCell ref="C151:C156"/>
    <mergeCell ref="D241:D246"/>
    <mergeCell ref="G31:G36"/>
    <mergeCell ref="F241:F246"/>
    <mergeCell ref="B277:B282"/>
    <mergeCell ref="F7:F12"/>
    <mergeCell ref="B43:B48"/>
    <mergeCell ref="G331:G336"/>
    <mergeCell ref="A169:A174"/>
    <mergeCell ref="D49:D54"/>
    <mergeCell ref="I131:I132"/>
    <mergeCell ref="C175:C180"/>
    <mergeCell ref="F163:F168"/>
    <mergeCell ref="F223:F228"/>
    <mergeCell ref="H223:H228"/>
    <mergeCell ref="E349:E354"/>
    <mergeCell ref="B67:B72"/>
    <mergeCell ref="I343:I344"/>
    <mergeCell ref="F31:F36"/>
    <mergeCell ref="D25:D30"/>
    <mergeCell ref="I35:I36"/>
    <mergeCell ref="G259:G264"/>
    <mergeCell ref="B127:B132"/>
    <mergeCell ref="I193:I194"/>
    <mergeCell ref="D127:D132"/>
    <mergeCell ref="A259:A264"/>
    <mergeCell ref="A253:A258"/>
    <mergeCell ref="C253:C258"/>
    <mergeCell ref="I99:I100"/>
    <mergeCell ref="I15:I16"/>
    <mergeCell ref="I257:I258"/>
    <mergeCell ref="A19:A24"/>
    <mergeCell ref="H289:H294"/>
    <mergeCell ref="C19:C24"/>
    <mergeCell ref="I101:I102"/>
    <mergeCell ref="I321:I322"/>
    <mergeCell ref="E121:E126"/>
    <mergeCell ref="D247:D252"/>
    <mergeCell ref="A319:A324"/>
    <mergeCell ref="C319:C324"/>
    <mergeCell ref="E175:E180"/>
    <mergeCell ref="B301:B306"/>
    <mergeCell ref="H211:H216"/>
    <mergeCell ref="I175:I176"/>
    <mergeCell ref="E337:E342"/>
    <mergeCell ref="G337:G342"/>
    <mergeCell ref="E103:E108"/>
    <mergeCell ref="G103:G108"/>
    <mergeCell ref="I177:I178"/>
    <mergeCell ref="B349:B354"/>
    <mergeCell ref="I33:I34"/>
    <mergeCell ref="G205:G210"/>
    <mergeCell ref="F307:F312"/>
    <mergeCell ref="A37:A42"/>
    <mergeCell ref="I269:I270"/>
    <mergeCell ref="H163:H168"/>
    <mergeCell ref="I241:I242"/>
    <mergeCell ref="I333:I334"/>
    <mergeCell ref="D181:D186"/>
    <mergeCell ref="A247:A252"/>
    <mergeCell ref="F181:F186"/>
    <mergeCell ref="F115:F120"/>
    <mergeCell ref="C247:C252"/>
    <mergeCell ref="H115:H120"/>
    <mergeCell ref="C241:C246"/>
    <mergeCell ref="E241:E246"/>
    <mergeCell ref="H229:H234"/>
    <mergeCell ref="I245:I246"/>
    <mergeCell ref="A13:A18"/>
    <mergeCell ref="E355:E360"/>
    <mergeCell ref="C7:C12"/>
    <mergeCell ref="H301:H306"/>
    <mergeCell ref="E7:E12"/>
    <mergeCell ref="A43:A48"/>
    <mergeCell ref="F337:F342"/>
    <mergeCell ref="B133:B138"/>
    <mergeCell ref="H337:H342"/>
    <mergeCell ref="D133:D138"/>
    <mergeCell ref="H67:H72"/>
    <mergeCell ref="C307:C312"/>
    <mergeCell ref="I267:I268"/>
    <mergeCell ref="E307:E312"/>
    <mergeCell ref="H97:H102"/>
    <mergeCell ref="I61:I62"/>
    <mergeCell ref="G307:G312"/>
    <mergeCell ref="E223:E228"/>
    <mergeCell ref="I359:I360"/>
    <mergeCell ref="G223:G228"/>
    <mergeCell ref="C73:C78"/>
    <mergeCell ref="A67:A72"/>
    <mergeCell ref="B199:B204"/>
    <mergeCell ref="I125:I126"/>
    <mergeCell ref="D199:D204"/>
    <mergeCell ref="B235:B240"/>
    <mergeCell ref="A325:A330"/>
    <mergeCell ref="C325:C330"/>
    <mergeCell ref="I171:I172"/>
    <mergeCell ref="I323:I324"/>
    <mergeCell ref="I127:I128"/>
    <mergeCell ref="A25:A30"/>
    <mergeCell ref="C25:C30"/>
    <mergeCell ref="G289:G294"/>
    <mergeCell ref="D355:D360"/>
    <mergeCell ref="C85:C90"/>
    <mergeCell ref="F355:F360"/>
    <mergeCell ref="A133:A138"/>
    <mergeCell ref="C133:C138"/>
    <mergeCell ref="C127:C132"/>
    <mergeCell ref="I39:I40"/>
    <mergeCell ref="B259:B264"/>
    <mergeCell ref="F169:F174"/>
    <mergeCell ref="H283:H288"/>
    <mergeCell ref="I247:I248"/>
    <mergeCell ref="H277:H282"/>
    <mergeCell ref="B19:B24"/>
    <mergeCell ref="B217:B222"/>
    <mergeCell ref="G55:G60"/>
    <mergeCell ref="D121:D126"/>
    <mergeCell ref="F121:F126"/>
    <mergeCell ref="B319:B324"/>
    <mergeCell ref="D319:D324"/>
    <mergeCell ref="I49:I50"/>
    <mergeCell ref="C13:C18"/>
    <mergeCell ref="I291:I292"/>
    <mergeCell ref="G211:G216"/>
    <mergeCell ref="I113:I114"/>
    <mergeCell ref="D187:D192"/>
    <mergeCell ref="F187:F192"/>
    <mergeCell ref="I293:I294"/>
    <mergeCell ref="B223:B228"/>
    <mergeCell ref="I271:I272"/>
    <mergeCell ref="F103:F108"/>
    <mergeCell ref="C313:C318"/>
    <mergeCell ref="E313:E318"/>
    <mergeCell ref="H103:H108"/>
    <mergeCell ref="F205:F210"/>
    <mergeCell ref="A349:A354"/>
    <mergeCell ref="I115:I116"/>
    <mergeCell ref="C79:C84"/>
    <mergeCell ref="E79:E84"/>
    <mergeCell ref="I273:I274"/>
    <mergeCell ref="E73:E78"/>
    <mergeCell ref="F55:F60"/>
    <mergeCell ref="C121:C126"/>
    <mergeCell ref="E181:E186"/>
    <mergeCell ref="B247:B252"/>
    <mergeCell ref="H169:H174"/>
    <mergeCell ref="G229:G234"/>
    <mergeCell ref="B13:B18"/>
    <mergeCell ref="D13:D18"/>
    <mergeCell ref="D7:D12"/>
    <mergeCell ref="G139:G144"/>
    <mergeCell ref="I191:I192"/>
    <mergeCell ref="B313:B318"/>
    <mergeCell ref="D307:D312"/>
    <mergeCell ref="I199:I200"/>
    <mergeCell ref="I255:I256"/>
    <mergeCell ref="I339:I340"/>
    <mergeCell ref="F37:F42"/>
    <mergeCell ref="D73:D78"/>
    <mergeCell ref="F73:F78"/>
    <mergeCell ref="E163:E168"/>
    <mergeCell ref="A199:A204"/>
    <mergeCell ref="C199:C204"/>
    <mergeCell ref="E199:E204"/>
    <mergeCell ref="B325:B330"/>
  </mergeCells>
  <conditionalFormatting sqref="G4:H4">
    <cfRule type="expression" priority="70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71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72" dxfId="9104">
      <formula>AND(G4&lt;&gt;"--:--",#REF!&lt;&gt;"--:--",ABS(TIMEVALUE(G4)-TIMEVALUE(#REF!))*1440&lt;30)</formula>
    </cfRule>
    <cfRule type="containsText" priority="73" operator="containsText" dxfId="9103" text="早退">
      <formula>NOT(ISERROR(SEARCH("早退",G4)))</formula>
    </cfRule>
    <cfRule type="containsText" priority="74" operator="containsText" dxfId="9102" text="迟到">
      <formula>NOT(ISERROR(SEARCH("迟到",G4)))</formula>
    </cfRule>
    <cfRule type="containsText" priority="75" operator="containsText" dxfId="9100" text="缺勤">
      <formula>NOT(ISERROR(SEARCH("缺勤",G4)))</formula>
    </cfRule>
    <cfRule type="containsText" priority="76" operator="containsText" dxfId="9100" text="旷工">
      <formula>NOT(ISERROR(SEARCH("旷工",G4)))</formula>
    </cfRule>
    <cfRule type="containsText" priority="77" operator="containsText" dxfId="9099" text="冲销">
      <formula>NOT(ISERROR(SEARCH("冲销",G4)))</formula>
    </cfRule>
    <cfRule type="containsText" priority="78" operator="containsText" dxfId="9098" text="异常打卡">
      <formula>NOT(ISERROR(SEARCH("异常打卡",G4)))</formula>
    </cfRule>
    <cfRule type="containsText" priority="79" operator="containsText" dxfId="9097" text="正常打卡">
      <formula>NOT(ISERROR(SEARCH("正常打卡",G4)))</formula>
    </cfRule>
  </conditionalFormatting>
  <conditionalFormatting sqref="F5">
    <cfRule type="expression" priority="69" dxfId="9065">
      <formula>F5&lt;F4</formula>
    </cfRule>
  </conditionalFormatting>
  <conditionalFormatting sqref="J7:L7">
    <cfRule type="expression" priority="67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N7:R7">
    <cfRule type="expression" priority="62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T7:X7">
    <cfRule type="expression" priority="59" dxfId="4514">
      <formula>AND(ISNUMBER(TIMEVALUE(LEFT(T7,FIND("(",T7&amp;"(")-1))),ISNUMBER(TIMEVALUE(LEFT(T9,FIND("(",T9&amp;"(")-1))),IF(TIMEVALUE(LEFT(T7,FIND("(",T7&amp;"(")-1))&lt;=TIME(3,59,59),TIMEVALUE(LEFT(T7,FIND("(",T7&amp;"(")-1))+1,TIMEVALUE(LEFT(T7,FIND("(",T7&amp;"(")-1)))+60/1440&lt;IF(TIMEVALUE(LEFT(T9,FIND("(",T9&amp;"(")-1))&lt;=TIME(3,59,59),TIMEVALUE(LEFT(T9,FIND("(",T9&amp;"(")-1))+1,TIMEVALUE(LEFT(T9,FIND("(",T9&amp;"(")-1))))</formula>
    </cfRule>
  </conditionalFormatting>
  <conditionalFormatting sqref="Z7:AD7">
    <cfRule type="expression" priority="56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AF7:AI7">
    <cfRule type="expression" priority="53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J8:L8">
    <cfRule type="expression" priority="68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8:R8">
    <cfRule type="expression" priority="63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T8:X8">
    <cfRule type="expression" priority="60" dxfId="4514">
      <formula>AND(ISNUMBER(TIMEVALUE(LEFT(T8,FIND("(",T8&amp;"(")-1))),ISNUMBER(TIMEVALUE(LEFT(T10,FIND("(",T10&amp;"(")-1))),IF(TIMEVALUE(LEFT(T8,FIND("(",T8&amp;"(")-1))&lt;=TIME(3,59,59),TIMEVALUE(LEFT(T8,FIND("(",T8&amp;"(")-1))+1,TIMEVALUE(LEFT(T8,FIND("(",T8&amp;"(")-1)))-60/1440&gt;IF(TIMEVALUE(LEFT(T10,FIND("(",T10&amp;"(")-1))&lt;=TIME(3,59,59),TIMEVALUE(LEFT(T10,FIND("(",T10&amp;"(")-1))+1,TIMEVALUE(LEFT(T10,FIND("(",T10&amp;"(")-1))))</formula>
    </cfRule>
  </conditionalFormatting>
  <conditionalFormatting sqref="Z8:AD8">
    <cfRule type="expression" priority="57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AF8:AI8">
    <cfRule type="expression" priority="54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J13:L13">
    <cfRule type="expression" priority="50" dxfId="4514">
      <formula>AND(ISNUMBER(TIMEVALUE(LEFT(J13,FIND("(",J13&amp;"(")-1))),ISNUMBER(TIMEVALUE(LEFT(J15,FIND("(",J15&amp;"(")-1))),IF(TIMEVALUE(LEFT(J13,FIND("(",J13&amp;"(")-1))&lt;=TIME(3,59,59),TIMEVALUE(LEFT(J13,FIND("(",J13&amp;"(")-1))+1,TIMEVALUE(LEFT(J13,FIND("(",J13&amp;"(")-1)))+60/1440&lt;IF(TIMEVALUE(LEFT(J15,FIND("(",J15&amp;"(")-1))&lt;=TIME(3,59,59),TIMEVALUE(LEFT(J15,FIND("(",J15&amp;"(")-1))+1,TIMEVALUE(LEFT(J15,FIND("(",J15&amp;"(")-1))))</formula>
    </cfRule>
  </conditionalFormatting>
  <conditionalFormatting sqref="N13:R13">
    <cfRule type="expression" priority="45" dxfId="4514">
      <formula>AND(ISNUMBER(TIMEVALUE(LEFT(N13,FIND("(",N13&amp;"(")-1))),ISNUMBER(TIMEVALUE(LEFT(N15,FIND("(",N15&amp;"(")-1))),IF(TIMEVALUE(LEFT(N13,FIND("(",N13&amp;"(")-1))&lt;=TIME(3,59,59),TIMEVALUE(LEFT(N13,FIND("(",N13&amp;"(")-1))+1,TIMEVALUE(LEFT(N13,FIND("(",N13&amp;"(")-1)))+60/1440&lt;IF(TIMEVALUE(LEFT(N15,FIND("(",N15&amp;"(")-1))&lt;=TIME(3,59,59),TIMEVALUE(LEFT(N15,FIND("(",N15&amp;"(")-1))+1,TIMEVALUE(LEFT(N15,FIND("(",N15&amp;"(")-1))))</formula>
    </cfRule>
  </conditionalFormatting>
  <conditionalFormatting sqref="T13:X13">
    <cfRule type="expression" priority="42" dxfId="4514">
      <formula>AND(ISNUMBER(TIMEVALUE(LEFT(T13,FIND("(",T13&amp;"(")-1))),ISNUMBER(TIMEVALUE(LEFT(T15,FIND("(",T15&amp;"(")-1))),IF(TIMEVALUE(LEFT(T13,FIND("(",T13&amp;"(")-1))&lt;=TIME(3,59,59),TIMEVALUE(LEFT(T13,FIND("(",T13&amp;"(")-1))+1,TIMEVALUE(LEFT(T13,FIND("(",T13&amp;"(")-1)))+60/1440&lt;IF(TIMEVALUE(LEFT(T15,FIND("(",T15&amp;"(")-1))&lt;=TIME(3,59,59),TIMEVALUE(LEFT(T15,FIND("(",T15&amp;"(")-1))+1,TIMEVALUE(LEFT(T15,FIND("(",T15&amp;"(")-1))))</formula>
    </cfRule>
  </conditionalFormatting>
  <conditionalFormatting sqref="Z13:AD13">
    <cfRule type="expression" priority="39" dxfId="4514">
      <formula>AND(ISNUMBER(TIMEVALUE(LEFT(Z13,FIND("(",Z13&amp;"(")-1))),ISNUMBER(TIMEVALUE(LEFT(Z15,FIND("(",Z15&amp;"(")-1))),IF(TIMEVALUE(LEFT(Z13,FIND("(",Z13&amp;"(")-1))&lt;=TIME(3,59,59),TIMEVALUE(LEFT(Z13,FIND("(",Z13&amp;"(")-1))+1,TIMEVALUE(LEFT(Z13,FIND("(",Z13&amp;"(")-1)))+60/1440&lt;IF(TIMEVALUE(LEFT(Z15,FIND("(",Z15&amp;"(")-1))&lt;=TIME(3,59,59),TIMEVALUE(LEFT(Z15,FIND("(",Z15&amp;"(")-1))+1,TIMEVALUE(LEFT(Z15,FIND("(",Z15&amp;"(")-1))))</formula>
    </cfRule>
  </conditionalFormatting>
  <conditionalFormatting sqref="AF13:AI13">
    <cfRule type="expression" priority="36" dxfId="4514">
      <formula>AND(ISNUMBER(TIMEVALUE(LEFT(AF13,FIND("(",AF13&amp;"(")-1))),ISNUMBER(TIMEVALUE(LEFT(AF15,FIND("(",AF15&amp;"(")-1))),IF(TIMEVALUE(LEFT(AF13,FIND("(",AF13&amp;"(")-1))&lt;=TIME(3,59,59),TIMEVALUE(LEFT(AF13,FIND("(",AF13&amp;"(")-1))+1,TIMEVALUE(LEFT(AF13,FIND("(",AF13&amp;"(")-1)))+60/1440&lt;IF(TIMEVALUE(LEFT(AF15,FIND("(",AF15&amp;"(")-1))&lt;=TIME(3,59,59),TIMEVALUE(LEFT(AF15,FIND("(",AF15&amp;"(")-1))+1,TIMEVALUE(LEFT(AF15,FIND("(",AF15&amp;"(")-1))))</formula>
    </cfRule>
  </conditionalFormatting>
  <conditionalFormatting sqref="J14:L14">
    <cfRule type="expression" priority="51" dxfId="4514">
      <formula>AND(ISNUMBER(TIMEVALUE(LEFT(J14,FIND("(",J14&amp;"(")-1))),ISNUMBER(TIMEVALUE(LEFT(J16,FIND("(",J16&amp;"(")-1))),IF(TIMEVALUE(LEFT(J14,FIND("(",J14&amp;"(")-1))&lt;=TIME(3,59,59),TIMEVALUE(LEFT(J14,FIND("(",J14&amp;"(")-1))+1,TIMEVALUE(LEFT(J14,FIND("(",J14&amp;"(")-1)))-60/1440&gt;IF(TIMEVALUE(LEFT(J16,FIND("(",J16&amp;"(")-1))&lt;=TIME(3,59,59),TIMEVALUE(LEFT(J16,FIND("(",J16&amp;"(")-1))+1,TIMEVALUE(LEFT(J16,FIND("(",J16&amp;"(")-1))))</formula>
    </cfRule>
  </conditionalFormatting>
  <conditionalFormatting sqref="N14:R14">
    <cfRule type="expression" priority="46" dxfId="4514">
      <formula>AND(ISNUMBER(TIMEVALUE(LEFT(N14,FIND("(",N14&amp;"(")-1))),ISNUMBER(TIMEVALUE(LEFT(N16,FIND("(",N16&amp;"(")-1))),IF(TIMEVALUE(LEFT(N14,FIND("(",N14&amp;"(")-1))&lt;=TIME(3,59,59),TIMEVALUE(LEFT(N14,FIND("(",N14&amp;"(")-1))+1,TIMEVALUE(LEFT(N14,FIND("(",N14&amp;"(")-1)))-60/1440&gt;IF(TIMEVALUE(LEFT(N16,FIND("(",N16&amp;"(")-1))&lt;=TIME(3,59,59),TIMEVALUE(LEFT(N16,FIND("(",N16&amp;"(")-1))+1,TIMEVALUE(LEFT(N16,FIND("(",N16&amp;"(")-1))))</formula>
    </cfRule>
  </conditionalFormatting>
  <conditionalFormatting sqref="T14:X14">
    <cfRule type="expression" priority="43" dxfId="4514">
      <formula>AND(ISNUMBER(TIMEVALUE(LEFT(T14,FIND("(",T14&amp;"(")-1))),ISNUMBER(TIMEVALUE(LEFT(T16,FIND("(",T16&amp;"(")-1))),IF(TIMEVALUE(LEFT(T14,FIND("(",T14&amp;"(")-1))&lt;=TIME(3,59,59),TIMEVALUE(LEFT(T14,FIND("(",T14&amp;"(")-1))+1,TIMEVALUE(LEFT(T14,FIND("(",T14&amp;"(")-1)))-60/1440&gt;IF(TIMEVALUE(LEFT(T16,FIND("(",T16&amp;"(")-1))&lt;=TIME(3,59,59),TIMEVALUE(LEFT(T16,FIND("(",T16&amp;"(")-1))+1,TIMEVALUE(LEFT(T16,FIND("(",T16&amp;"(")-1))))</formula>
    </cfRule>
  </conditionalFormatting>
  <conditionalFormatting sqref="Z14:AD14">
    <cfRule type="expression" priority="40" dxfId="4514">
      <formula>AND(ISNUMBER(TIMEVALUE(LEFT(Z14,FIND("(",Z14&amp;"(")-1))),ISNUMBER(TIMEVALUE(LEFT(Z16,FIND("(",Z16&amp;"(")-1))),IF(TIMEVALUE(LEFT(Z14,FIND("(",Z14&amp;"(")-1))&lt;=TIME(3,59,59),TIMEVALUE(LEFT(Z14,FIND("(",Z14&amp;"(")-1))+1,TIMEVALUE(LEFT(Z14,FIND("(",Z14&amp;"(")-1)))-60/1440&gt;IF(TIMEVALUE(LEFT(Z16,FIND("(",Z16&amp;"(")-1))&lt;=TIME(3,59,59),TIMEVALUE(LEFT(Z16,FIND("(",Z16&amp;"(")-1))+1,TIMEVALUE(LEFT(Z16,FIND("(",Z16&amp;"(")-1))))</formula>
    </cfRule>
  </conditionalFormatting>
  <conditionalFormatting sqref="AF14:AI14">
    <cfRule type="expression" priority="37" dxfId="4514">
      <formula>AND(ISNUMBER(TIMEVALUE(LEFT(AF14,FIND("(",AF14&amp;"(")-1))),ISNUMBER(TIMEVALUE(LEFT(AF16,FIND("(",AF16&amp;"(")-1))),IF(TIMEVALUE(LEFT(AF14,FIND("(",AF14&amp;"(")-1))&lt;=TIME(3,59,59),TIMEVALUE(LEFT(AF14,FIND("(",AF14&amp;"(")-1))+1,TIMEVALUE(LEFT(AF14,FIND("(",AF14&amp;"(")-1)))-60/1440&gt;IF(TIMEVALUE(LEFT(AF16,FIND("(",AF16&amp;"(")-1))&lt;=TIME(3,59,59),TIMEVALUE(LEFT(AF16,FIND("(",AF16&amp;"(")-1))+1,TIMEVALUE(LEFT(AF16,FIND("(",AF16&amp;"(")-1))))</formula>
    </cfRule>
  </conditionalFormatting>
  <conditionalFormatting sqref="J19:L19">
    <cfRule type="expression" priority="33" dxfId="4514">
      <formula>AND(ISNUMBER(TIMEVALUE(LEFT(J19,FIND("(",J19&amp;"(")-1))),ISNUMBER(TIMEVALUE(LEFT(J21,FIND("(",J21&amp;"(")-1))),IF(TIMEVALUE(LEFT(J19,FIND("(",J19&amp;"(")-1))&lt;=TIME(3,59,59),TIMEVALUE(LEFT(J19,FIND("(",J19&amp;"(")-1))+1,TIMEVALUE(LEFT(J19,FIND("(",J19&amp;"(")-1)))+60/1440&lt;IF(TIMEVALUE(LEFT(J21,FIND("(",J21&amp;"(")-1))&lt;=TIME(3,59,59),TIMEVALUE(LEFT(J21,FIND("(",J21&amp;"(")-1))+1,TIMEVALUE(LEFT(J21,FIND("(",J21&amp;"(")-1))))</formula>
    </cfRule>
  </conditionalFormatting>
  <conditionalFormatting sqref="N19:R19">
    <cfRule type="expression" priority="28" dxfId="4514">
      <formula>AND(ISNUMBER(TIMEVALUE(LEFT(N19,FIND("(",N19&amp;"(")-1))),ISNUMBER(TIMEVALUE(LEFT(N21,FIND("(",N21&amp;"(")-1))),IF(TIMEVALUE(LEFT(N19,FIND("(",N19&amp;"(")-1))&lt;=TIME(3,59,59),TIMEVALUE(LEFT(N19,FIND("(",N19&amp;"(")-1))+1,TIMEVALUE(LEFT(N19,FIND("(",N19&amp;"(")-1)))+60/1440&lt;IF(TIMEVALUE(LEFT(N21,FIND("(",N21&amp;"(")-1))&lt;=TIME(3,59,59),TIMEVALUE(LEFT(N21,FIND("(",N21&amp;"(")-1))+1,TIMEVALUE(LEFT(N21,FIND("(",N21&amp;"(")-1))))</formula>
    </cfRule>
  </conditionalFormatting>
  <conditionalFormatting sqref="T19:X19">
    <cfRule type="expression" priority="25" dxfId="4514">
      <formula>AND(ISNUMBER(TIMEVALUE(LEFT(T19,FIND("(",T19&amp;"(")-1))),ISNUMBER(TIMEVALUE(LEFT(T21,FIND("(",T21&amp;"(")-1))),IF(TIMEVALUE(LEFT(T19,FIND("(",T19&amp;"(")-1))&lt;=TIME(3,59,59),TIMEVALUE(LEFT(T19,FIND("(",T19&amp;"(")-1))+1,TIMEVALUE(LEFT(T19,FIND("(",T19&amp;"(")-1)))+60/1440&lt;IF(TIMEVALUE(LEFT(T21,FIND("(",T21&amp;"(")-1))&lt;=TIME(3,59,59),TIMEVALUE(LEFT(T21,FIND("(",T21&amp;"(")-1))+1,TIMEVALUE(LEFT(T21,FIND("(",T21&amp;"(")-1))))</formula>
    </cfRule>
  </conditionalFormatting>
  <conditionalFormatting sqref="Z19:AD19">
    <cfRule type="expression" priority="22" dxfId="4514">
      <formula>AND(ISNUMBER(TIMEVALUE(LEFT(Z19,FIND("(",Z19&amp;"(")-1))),ISNUMBER(TIMEVALUE(LEFT(Z21,FIND("(",Z21&amp;"(")-1))),IF(TIMEVALUE(LEFT(Z19,FIND("(",Z19&amp;"(")-1))&lt;=TIME(3,59,59),TIMEVALUE(LEFT(Z19,FIND("(",Z19&amp;"(")-1))+1,TIMEVALUE(LEFT(Z19,FIND("(",Z19&amp;"(")-1)))+60/1440&lt;IF(TIMEVALUE(LEFT(Z21,FIND("(",Z21&amp;"(")-1))&lt;=TIME(3,59,59),TIMEVALUE(LEFT(Z21,FIND("(",Z21&amp;"(")-1))+1,TIMEVALUE(LEFT(Z21,FIND("(",Z21&amp;"(")-1))))</formula>
    </cfRule>
  </conditionalFormatting>
  <conditionalFormatting sqref="AF19:AI19">
    <cfRule type="expression" priority="19" dxfId="4514">
      <formula>AND(ISNUMBER(TIMEVALUE(LEFT(AF19,FIND("(",AF19&amp;"(")-1))),ISNUMBER(TIMEVALUE(LEFT(AF21,FIND("(",AF21&amp;"(")-1))),IF(TIMEVALUE(LEFT(AF19,FIND("(",AF19&amp;"(")-1))&lt;=TIME(3,59,59),TIMEVALUE(LEFT(AF19,FIND("(",AF19&amp;"(")-1))+1,TIMEVALUE(LEFT(AF19,FIND("(",AF19&amp;"(")-1)))+60/1440&lt;IF(TIMEVALUE(LEFT(AF21,FIND("(",AF21&amp;"(")-1))&lt;=TIME(3,59,59),TIMEVALUE(LEFT(AF21,FIND("(",AF21&amp;"(")-1))+1,TIMEVALUE(LEFT(AF21,FIND("(",AF21&amp;"(")-1))))</formula>
    </cfRule>
  </conditionalFormatting>
  <conditionalFormatting sqref="J20:L20">
    <cfRule type="expression" priority="34" dxfId="4514">
      <formula>AND(ISNUMBER(TIMEVALUE(LEFT(J20,FIND("(",J20&amp;"(")-1))),ISNUMBER(TIMEVALUE(LEFT(J22,FIND("(",J22&amp;"(")-1))),IF(TIMEVALUE(LEFT(J20,FIND("(",J20&amp;"(")-1))&lt;=TIME(3,59,59),TIMEVALUE(LEFT(J20,FIND("(",J20&amp;"(")-1))+1,TIMEVALUE(LEFT(J20,FIND("(",J20&amp;"(")-1)))-60/1440&gt;IF(TIMEVALUE(LEFT(J22,FIND("(",J22&amp;"(")-1))&lt;=TIME(3,59,59),TIMEVALUE(LEFT(J22,FIND("(",J22&amp;"(")-1))+1,TIMEVALUE(LEFT(J22,FIND("(",J22&amp;"(")-1))))</formula>
    </cfRule>
  </conditionalFormatting>
  <conditionalFormatting sqref="N20:R20">
    <cfRule type="expression" priority="29" dxfId="4514">
      <formula>AND(ISNUMBER(TIMEVALUE(LEFT(N20,FIND("(",N20&amp;"(")-1))),ISNUMBER(TIMEVALUE(LEFT(N22,FIND("(",N22&amp;"(")-1))),IF(TIMEVALUE(LEFT(N20,FIND("(",N20&amp;"(")-1))&lt;=TIME(3,59,59),TIMEVALUE(LEFT(N20,FIND("(",N20&amp;"(")-1))+1,TIMEVALUE(LEFT(N20,FIND("(",N20&amp;"(")-1)))-60/1440&gt;IF(TIMEVALUE(LEFT(N22,FIND("(",N22&amp;"(")-1))&lt;=TIME(3,59,59),TIMEVALUE(LEFT(N22,FIND("(",N22&amp;"(")-1))+1,TIMEVALUE(LEFT(N22,FIND("(",N22&amp;"(")-1))))</formula>
    </cfRule>
  </conditionalFormatting>
  <conditionalFormatting sqref="T20:X20">
    <cfRule type="expression" priority="26" dxfId="4514">
      <formula>AND(ISNUMBER(TIMEVALUE(LEFT(T20,FIND("(",T20&amp;"(")-1))),ISNUMBER(TIMEVALUE(LEFT(T22,FIND("(",T22&amp;"(")-1))),IF(TIMEVALUE(LEFT(T20,FIND("(",T20&amp;"(")-1))&lt;=TIME(3,59,59),TIMEVALUE(LEFT(T20,FIND("(",T20&amp;"(")-1))+1,TIMEVALUE(LEFT(T20,FIND("(",T20&amp;"(")-1)))-60/1440&gt;IF(TIMEVALUE(LEFT(T22,FIND("(",T22&amp;"(")-1))&lt;=TIME(3,59,59),TIMEVALUE(LEFT(T22,FIND("(",T22&amp;"(")-1))+1,TIMEVALUE(LEFT(T22,FIND("(",T22&amp;"(")-1))))</formula>
    </cfRule>
  </conditionalFormatting>
  <conditionalFormatting sqref="Z20:AD20">
    <cfRule type="expression" priority="23" dxfId="4514">
      <formula>AND(ISNUMBER(TIMEVALUE(LEFT(Z20,FIND("(",Z20&amp;"(")-1))),ISNUMBER(TIMEVALUE(LEFT(Z22,FIND("(",Z22&amp;"(")-1))),IF(TIMEVALUE(LEFT(Z20,FIND("(",Z20&amp;"(")-1))&lt;=TIME(3,59,59),TIMEVALUE(LEFT(Z20,FIND("(",Z20&amp;"(")-1))+1,TIMEVALUE(LEFT(Z20,FIND("(",Z20&amp;"(")-1)))-60/1440&gt;IF(TIMEVALUE(LEFT(Z22,FIND("(",Z22&amp;"(")-1))&lt;=TIME(3,59,59),TIMEVALUE(LEFT(Z22,FIND("(",Z22&amp;"(")-1))+1,TIMEVALUE(LEFT(Z22,FIND("(",Z22&amp;"(")-1))))</formula>
    </cfRule>
  </conditionalFormatting>
  <conditionalFormatting sqref="AF20:AI20">
    <cfRule type="expression" priority="20" dxfId="4514">
      <formula>AND(ISNUMBER(TIMEVALUE(LEFT(AF20,FIND("(",AF20&amp;"(")-1))),ISNUMBER(TIMEVALUE(LEFT(AF22,FIND("(",AF22&amp;"(")-1))),IF(TIMEVALUE(LEFT(AF20,FIND("(",AF20&amp;"(")-1))&lt;=TIME(3,59,59),TIMEVALUE(LEFT(AF20,FIND("(",AF20&amp;"(")-1))+1,TIMEVALUE(LEFT(AF20,FIND("(",AF20&amp;"(")-1)))-60/1440&gt;IF(TIMEVALUE(LEFT(AF22,FIND("(",AF22&amp;"(")-1))&lt;=TIME(3,59,59),TIMEVALUE(LEFT(AF22,FIND("(",AF22&amp;"(")-1))+1,TIMEVALUE(LEFT(AF22,FIND("(",AF22&amp;"(")-1))))</formula>
    </cfRule>
  </conditionalFormatting>
  <conditionalFormatting sqref="F2:F4">
    <cfRule type="expression" priority="80" dxfId="9065">
      <formula>F2&lt;#REF!</formula>
    </cfRule>
  </conditionalFormatting>
  <conditionalFormatting sqref="G7:G360">
    <cfRule type="expression" priority="81" dxfId="9064">
      <formula>G11-F11&gt;0.5</formula>
    </cfRule>
  </conditionalFormatting>
  <conditionalFormatting sqref="J7:L8">
    <cfRule type="expression" priority="64" dxfId="9039">
      <formula>J9="--:--"</formula>
    </cfRule>
  </conditionalFormatting>
  <conditionalFormatting sqref="N7:R8">
    <cfRule type="expression" priority="61" dxfId="9039">
      <formula>N9="--:--"</formula>
    </cfRule>
  </conditionalFormatting>
  <conditionalFormatting sqref="T7:X8">
    <cfRule type="expression" priority="58" dxfId="9039">
      <formula>T9="--:--"</formula>
    </cfRule>
  </conditionalFormatting>
  <conditionalFormatting sqref="Z7:AD8">
    <cfRule type="expression" priority="55" dxfId="9039">
      <formula>Z9="--:--"</formula>
    </cfRule>
  </conditionalFormatting>
  <conditionalFormatting sqref="AF7:AI8">
    <cfRule type="expression" priority="52" dxfId="9039">
      <formula>AF9="--:--"</formula>
    </cfRule>
  </conditionalFormatting>
  <conditionalFormatting sqref="J13:L14">
    <cfRule type="expression" priority="47" dxfId="9039">
      <formula>J15="--:--"</formula>
    </cfRule>
  </conditionalFormatting>
  <conditionalFormatting sqref="N13:R14">
    <cfRule type="expression" priority="44" dxfId="9039">
      <formula>N15="--:--"</formula>
    </cfRule>
  </conditionalFormatting>
  <conditionalFormatting sqref="T13:X14">
    <cfRule type="expression" priority="41" dxfId="9039">
      <formula>T15="--:--"</formula>
    </cfRule>
  </conditionalFormatting>
  <conditionalFormatting sqref="Z13:AD14">
    <cfRule type="expression" priority="38" dxfId="9039">
      <formula>Z15="--:--"</formula>
    </cfRule>
  </conditionalFormatting>
  <conditionalFormatting sqref="AF13:AI14">
    <cfRule type="expression" priority="35" dxfId="9039">
      <formula>AF15="--:--"</formula>
    </cfRule>
  </conditionalFormatting>
  <conditionalFormatting sqref="J19:L20">
    <cfRule type="expression" priority="30" dxfId="9039">
      <formula>J21="--:--"</formula>
    </cfRule>
  </conditionalFormatting>
  <conditionalFormatting sqref="N19:R20">
    <cfRule type="expression" priority="27" dxfId="9039">
      <formula>N21="--:--"</formula>
    </cfRule>
  </conditionalFormatting>
  <conditionalFormatting sqref="T19:X20">
    <cfRule type="expression" priority="24" dxfId="9039">
      <formula>T21="--:--"</formula>
    </cfRule>
  </conditionalFormatting>
  <conditionalFormatting sqref="Z19:AD20">
    <cfRule type="expression" priority="21" dxfId="9039">
      <formula>Z21="--:--"</formula>
    </cfRule>
  </conditionalFormatting>
  <conditionalFormatting sqref="AF19:AI20">
    <cfRule type="expression" priority="18" dxfId="9039">
      <formula>AF21="--:--"</formula>
    </cfRule>
  </conditionalFormatting>
  <conditionalFormatting sqref="J25:L25 J31:L31 J37:L37 J43:L43 J49:L49 J55:L55 J61:L61 J67:L67 J73:L73 J79:L79 J85:L85 J91:L91 J97:L97 J103:L103 J109:L109 J115:L115 J121:L121 J127:L127 J133:L133 J139:L139 J145:L145 J151:L151 J157:L157 J163:L163 J169:L169 J175:L175 J181:L181 J187:L187 J193:L193 J199:L199 J205:L205 J211:L211 J217:L217 J223:L223 J229:L229 J235:L235 J241:L241 J247:L247 J253:L253 J259:L259 J265:L265 J271:L271 J277:L277 J283:L283 J289:L289 J295:L295 J301:L301 J307:L307 J313:L313 J319:L319 J325:L325 J331:L331 J337:L337 J343:L343 J349:L349 J355:L355">
    <cfRule type="expression" priority="16" dxfId="4514">
      <formula>AND(ISNUMBER(TIMEVALUE(LEFT(J25,FIND("(",J25&amp;"(")-1))),ISNUMBER(TIMEVALUE(LEFT(J27,FIND("(",J27&amp;"(")-1))),IF(TIMEVALUE(LEFT(J25,FIND("(",J25&amp;"(")-1))&lt;=TIME(3,59,59),TIMEVALUE(LEFT(J25,FIND("(",J25&amp;"(")-1))+1,TIMEVALUE(LEFT(J25,FIND("(",J25&amp;"(")-1)))+60/1440&lt;IF(TIMEVALUE(LEFT(J27,FIND("(",J27&amp;"(")-1))&lt;=TIME(3,59,59),TIMEVALUE(LEFT(J27,FIND("(",J27&amp;"(")-1))+1,TIMEVALUE(LEFT(J27,FIND("(",J27&amp;"(")-1))))</formula>
    </cfRule>
  </conditionalFormatting>
  <conditionalFormatting sqref="J25:L26 J31:L32 J37:L38 J43:L44 J49:L50 J55:L56 J61:L62 J67:L68 J73:L74 J79:L80 J85:L86 J91:L92 J97:L98 J103:L104 J109:L110 J115:L116 J121:L122 J127:L128 J133:L134 J139:L140 J145:L146 J151:L152 J157:L158 J163:L164 J169:L170 J175:L176 J181:L182 J187:L188 J193:L194 J199:L200 J205:L206 J211:L212 J217:L218 J223:L224 J229:L230 J235:L236 J241:L242 J247:L248 J253:L254 J259:L260 J265:L266 J271:L272 J277:L278 J283:L284 J289:L290 J295:L296 J301:L302 J307:L308 J313:L314 J319:L320 J325:L326 J331:L332 J337:L338 J343:L344 J349:L350 J355:L356">
    <cfRule type="expression" priority="13" dxfId="9039">
      <formula>J27="--:--"</formula>
    </cfRule>
  </conditionalFormatting>
  <conditionalFormatting sqref="N25:R25 N31:R31 N37:R37 N43:R43 N49:R49 N55:R55 N61:R61 N67:R67 N73:R73 N79:R79 N85:R85 N91:R91 N97:R97 N103:R103 N109:R109 N115:R115 N121:R121 N127:R127 N133:R133 N139:R139 N145:R145 N151:R151 N157:R157 N163:R163 N169:R169 N175:R175 N181:R181 N187:R187 N193:R193 N199:R199 N205:R205 N211:R211 N217:R217 N223:R223 N229:R229 N235:R235 N241:R241 N247:R247 N253:R253 N259:R259 N265:R265 N271:R271 N277:R277 N283:R283 N289:R289 N295:R295 N301:R301 N307:R307 N313:R313 N319:R319 N325:R325 N331:R331 N337:R337 N343:R343 N349:R349 N355:R355">
    <cfRule type="expression" priority="11" dxfId="4514">
      <formula>AND(ISNUMBER(TIMEVALUE(LEFT(N25,FIND("(",N25&amp;"(")-1))),ISNUMBER(TIMEVALUE(LEFT(N27,FIND("(",N27&amp;"(")-1))),IF(TIMEVALUE(LEFT(N25,FIND("(",N25&amp;"(")-1))&lt;=TIME(3,59,59),TIMEVALUE(LEFT(N25,FIND("(",N25&amp;"(")-1))+1,TIMEVALUE(LEFT(N25,FIND("(",N25&amp;"(")-1)))+60/1440&lt;IF(TIMEVALUE(LEFT(N27,FIND("(",N27&amp;"(")-1))&lt;=TIME(3,59,59),TIMEVALUE(LEFT(N27,FIND("(",N27&amp;"(")-1))+1,TIMEVALUE(LEFT(N27,FIND("(",N27&amp;"(")-1))))</formula>
    </cfRule>
  </conditionalFormatting>
  <conditionalFormatting sqref="N25:R26 N31:R32 N37:R38 N43:R44 N49:R50 N55:R56 N61:R62 N67:R68 N73:R74 N79:R80 N85:R86 N91:R92 N97:R98 N103:R104 N109:R110 N115:R116 N121:R122 N127:R128 N133:R134 N139:R140 N145:R146 N151:R152 N157:R158 N163:R164 N169:R170 N175:R176 N181:R182 N187:R188 N193:R194 N199:R200 N205:R206 N211:R212 N217:R218 N223:R224 N229:R230 N235:R236 N241:R242 N247:R248 N253:R254 N259:R260 N265:R266 N271:R272 N277:R278 N283:R284 N289:R290 N295:R296 N301:R302 N307:R308 N313:R314 N319:R320 N325:R326 N331:R332 N337:R338 N343:R344 N349:R350 N355:R356">
    <cfRule type="expression" priority="10" dxfId="9039">
      <formula>N27="--:--"</formula>
    </cfRule>
  </conditionalFormatting>
  <conditionalFormatting sqref="T25:X25 T31:X31 T37:X37 T43:X43 T49:X49 T55:X55 T61:X61 T67:X67 T73:X73 T79:X79 T85:X85 T91:X91 T97:X97 T103:X103 T109:X109 T115:X115 T121:X121 T127:X127 T133:X133 T139:X139 T145:X145 T151:X151 T157:X157 T163:X163 T169:X169 T175:X175 T181:X181 T187:X187 T193:X193 T199:X199 T205:X205 T211:X211 T217:X217 T223:X223 T229:X229 T235:X235 T241:X241 T247:X247 T253:X253 T259:X259 T265:X265 T271:X271 T277:X277 T283:X283 T289:X289 T295:X295 T301:X301 T307:X307 T313:X313 T319:X319 T325:X325 T331:X331 T337:X337 T343:X343 T349:X349 T355:X355">
    <cfRule type="expression" priority="8" dxfId="4514">
      <formula>AND(ISNUMBER(TIMEVALUE(LEFT(T25,FIND("(",T25&amp;"(")-1))),ISNUMBER(TIMEVALUE(LEFT(T27,FIND("(",T27&amp;"(")-1))),IF(TIMEVALUE(LEFT(T25,FIND("(",T25&amp;"(")-1))&lt;=TIME(3,59,59),TIMEVALUE(LEFT(T25,FIND("(",T25&amp;"(")-1))+1,TIMEVALUE(LEFT(T25,FIND("(",T25&amp;"(")-1)))+60/1440&lt;IF(TIMEVALUE(LEFT(T27,FIND("(",T27&amp;"(")-1))&lt;=TIME(3,59,59),TIMEVALUE(LEFT(T27,FIND("(",T27&amp;"(")-1))+1,TIMEVALUE(LEFT(T27,FIND("(",T27&amp;"(")-1))))</formula>
    </cfRule>
  </conditionalFormatting>
  <conditionalFormatting sqref="T25:X26 T31:X32 T37:X38 T43:X44 T49:X50 T55:X56 T61:X62 T67:X68 T73:X74 T79:X80 T85:X86 T91:X92 T97:X98 T103:X104 T109:X110 T115:X116 T121:X122 T127:X128 T133:X134 T139:X140 T145:X146 T151:X152 T157:X158 T163:X164 T169:X170 T175:X176 T181:X182 T187:X188 T193:X194 T199:X200 T205:X206 T211:X212 T217:X218 T223:X224 T229:X230 T235:X236 T241:X242 T247:X248 T253:X254 T259:X260 T265:X266 T271:X272 T277:X278 T283:X284 T289:X290 T295:X296 T301:X302 T307:X308 T313:X314 T319:X320 T325:X326 T331:X332 T337:X338 T343:X344 T349:X350 T355:X356">
    <cfRule type="expression" priority="7" dxfId="9039">
      <formula>T27="--:--"</formula>
    </cfRule>
  </conditionalFormatting>
  <conditionalFormatting sqref="Z25:AD25 Z31:AD31 Z37:AD37 Z43:AD43 Z49:AD49 Z55:AD55 Z61:AD61 Z67:AD67 Z73:AD73 Z79:AD79 Z85:AD85 Z91:AD91 Z97:AD97 Z103:AD103 Z109:AD109 Z115:AD115 Z121:AD121 Z127:AD127 Z133:AD133 Z139:AD139 Z145:AD145 Z151:AD151 Z157:AD157 Z163:AD163 Z169:AD169 Z175:AD175 Z181:AD181 Z187:AD187 Z193:AD193 Z199:AD199 Z205:AD205 Z211:AD211 Z217:AD217 Z223:AD223 Z229:AD229 Z235:AD235 Z241:AD241 Z247:AD247 Z253:AD253 Z259:AD259 Z265:AD265 Z271:AD271 Z277:AD277 Z283:AD283 Z289:AD289 Z295:AD295 Z301:AD301 Z307:AD307 Z313:AD313 Z319:AD319 Z325:AD325 Z331:AD331 Z337:AD337 Z343:AD343 Z349:AD349 Z355:AD355">
    <cfRule type="expression" priority="5" dxfId="4514">
      <formula>AND(ISNUMBER(TIMEVALUE(LEFT(Z25,FIND("(",Z25&amp;"(")-1))),ISNUMBER(TIMEVALUE(LEFT(Z27,FIND("(",Z27&amp;"(")-1))),IF(TIMEVALUE(LEFT(Z25,FIND("(",Z25&amp;"(")-1))&lt;=TIME(3,59,59),TIMEVALUE(LEFT(Z25,FIND("(",Z25&amp;"(")-1))+1,TIMEVALUE(LEFT(Z25,FIND("(",Z25&amp;"(")-1)))+60/1440&lt;IF(TIMEVALUE(LEFT(Z27,FIND("(",Z27&amp;"(")-1))&lt;=TIME(3,59,59),TIMEVALUE(LEFT(Z27,FIND("(",Z27&amp;"(")-1))+1,TIMEVALUE(LEFT(Z27,FIND("(",Z27&amp;"(")-1))))</formula>
    </cfRule>
  </conditionalFormatting>
  <conditionalFormatting sqref="Z25:AD26 Z31:AD32 Z37:AD38 Z43:AD44 Z49:AD50 Z55:AD56 Z61:AD62 Z67:AD68 Z73:AD74 Z79:AD80 Z85:AD86 Z91:AD92 Z97:AD98 Z103:AD104 Z109:AD110 Z115:AD116 Z121:AD122 Z127:AD128 Z133:AD134 Z139:AD140 Z145:AD146 Z151:AD152 Z157:AD158 Z163:AD164 Z169:AD170 Z175:AD176 Z181:AD182 Z187:AD188 Z193:AD194 Z199:AD200 Z205:AD206 Z211:AD212 Z217:AD218 Z223:AD224 Z229:AD230 Z235:AD236 Z241:AD242 Z247:AD248 Z253:AD254 Z259:AD260 Z265:AD266 Z271:AD272 Z277:AD278 Z283:AD284 Z289:AD290 Z295:AD296 Z301:AD302 Z307:AD308 Z313:AD314 Z319:AD320 Z325:AD326 Z331:AD332 Z337:AD338 Z343:AD344 Z349:AD350 Z355:AD356">
    <cfRule type="expression" priority="4" dxfId="9039">
      <formula>Z27="--:--"</formula>
    </cfRule>
  </conditionalFormatting>
  <conditionalFormatting sqref="AF25:AI25 AF31:AI31 AF37:AI37 AF43:AI43 AF49:AI49 AF55:AI55 AF61:AI61 AF67:AI67 AF73:AI73 AF79:AI79 AF85:AI85 AF91:AI91 AF97:AI97 AF103:AI103 AF109:AI109 AF115:AI115 AF121:AI121 AF127:AI127 AF133:AI133 AF139:AI139 AF145:AI145 AF151:AI151 AF157:AI157 AF163:AI163 AF169:AI169 AF175:AI175 AF181:AI181 AF187:AI187 AF193:AI193 AF199:AI199 AF205:AI205 AF211:AI211 AF217:AI217 AF223:AI223 AF229:AI229 AF235:AI235 AF241:AI241 AF247:AI247 AF253:AI253 AF259:AI259 AF265:AI265 AF271:AI271 AF277:AI277 AF283:AI283 AF289:AI289 AF295:AI295 AF301:AI301 AF307:AI307 AF313:AI313 AF319:AI319 AF325:AI325 AF331:AI331 AF337:AI337 AF343:AI343 AF349:AI349 AF355:AI355">
    <cfRule type="expression" priority="2" dxfId="4514">
      <formula>AND(ISNUMBER(TIMEVALUE(LEFT(AF25,FIND("(",AF25&amp;"(")-1))),ISNUMBER(TIMEVALUE(LEFT(AF27,FIND("(",AF27&amp;"(")-1))),IF(TIMEVALUE(LEFT(AF25,FIND("(",AF25&amp;"(")-1))&lt;=TIME(3,59,59),TIMEVALUE(LEFT(AF25,FIND("(",AF25&amp;"(")-1))+1,TIMEVALUE(LEFT(AF25,FIND("(",AF25&amp;"(")-1)))+60/1440&lt;IF(TIMEVALUE(LEFT(AF27,FIND("(",AF27&amp;"(")-1))&lt;=TIME(3,59,59),TIMEVALUE(LEFT(AF27,FIND("(",AF27&amp;"(")-1))+1,TIMEVALUE(LEFT(AF27,FIND("(",AF27&amp;"(")-1))))</formula>
    </cfRule>
  </conditionalFormatting>
  <conditionalFormatting sqref="AF25:AI26 AF31:AI32 AF37:AI38 AF43:AI44 AF49:AI50 AF55:AI56 AF61:AI62 AF67:AI68 AF73:AI74 AF79:AI80 AF85:AI86 AF91:AI92 AF97:AI98 AF103:AI104 AF109:AI110 AF115:AI116 AF121:AI122 AF127:AI128 AF133:AI134 AF139:AI140 AF145:AI146 AF151:AI152 AF157:AI158 AF163:AI164 AF169:AI170 AF175:AI176 AF181:AI182 AF187:AI188 AF193:AI194 AF199:AI200 AF205:AI206 AF211:AI212 AF217:AI218 AF223:AI224 AF229:AI230 AF235:AI236 AF241:AI242 AF247:AI248 AF253:AI254 AF259:AI260 AF265:AI266 AF271:AI272 AF277:AI278 AF283:AI284 AF289:AI290 AF295:AI296 AF301:AI302 AF307:AI308 AF313:AI314 AF319:AI320 AF325:AI326 AF331:AI332 AF337:AI338 AF343:AI344 AF349:AI350 AF355:AI356">
    <cfRule type="expression" priority="1" dxfId="9039">
      <formula>AF27="--:--"</formula>
    </cfRule>
  </conditionalFormatting>
  <conditionalFormatting sqref="J26:L26 J32:L32 J38:L38 J44:L44 J50:L50 J56:L56 J62:L62 J68:L68 J74:L74 J80:L80 J86:L86 J92:L92 J98:L98 J104:L104 J110:L110 J116:L116 J122:L122 J128:L128 J134:L134 J140:L140 J146:L146 J152:L152 J158:L158 J164:L164 J170:L170 J176:L176 J182:L182 J188:L188 J194:L194 J200:L200 J206:L206 J212:L212 J218:L218 J224:L224 J230:L230 J236:L236 J242:L242 J248:L248 J254:L254 J260:L260 J266:L266 J272:L272 J278:L278 J284:L284 J290:L290 J296:L296 J302:L302 J308:L308 J314:L314 J320:L320 J326:L326 J332:L332 J338:L338 J344:L344 J350:L350 J356:L356">
    <cfRule type="expression" priority="17" dxfId="4514">
      <formula>AND(ISNUMBER(TIMEVALUE(LEFT(J26,FIND("(",J26&amp;"(")-1))),ISNUMBER(TIMEVALUE(LEFT(J28,FIND("(",J28&amp;"(")-1))),IF(TIMEVALUE(LEFT(J26,FIND("(",J26&amp;"(")-1))&lt;=TIME(3,59,59),TIMEVALUE(LEFT(J26,FIND("(",J26&amp;"(")-1))+1,TIMEVALUE(LEFT(J26,FIND("(",J26&amp;"(")-1)))-60/1440&gt;IF(TIMEVALUE(LEFT(J28,FIND("(",J28&amp;"(")-1))&lt;=TIME(3,59,59),TIMEVALUE(LEFT(J28,FIND("(",J28&amp;"(")-1))+1,TIMEVALUE(LEFT(J28,FIND("(",J28&amp;"(")-1))))</formula>
    </cfRule>
  </conditionalFormatting>
  <conditionalFormatting sqref="N26:R26 N32:R32 N38:R38 N44:R44 N50:R50 N56:R56 N62:R62 N68:R68 N74:R74 N80:R80 N86:R86 N92:R92 N98:R98 N104:R104 N110:R110 N116:R116 N122:R122 N128:R128 N134:R134 N140:R140 N146:R146 N152:R152 N158:R158 N164:R164 N170:R170 N176:R176 N182:R182 N188:R188 N194:R194 N200:R200 N206:R206 N212:R212 N218:R218 N224:R224 N230:R230 N236:R236 N242:R242 N248:R248 N254:R254 N260:R260 N266:R266 N272:R272 N278:R278 N284:R284 N290:R290 N296:R296 N302:R302 N308:R308 N314:R314 N320:R320 N326:R326 N332:R332 N338:R338 N344:R344 N350:R350 N356:R356">
    <cfRule type="expression" priority="12" dxfId="4514">
      <formula>AND(ISNUMBER(TIMEVALUE(LEFT(N26,FIND("(",N26&amp;"(")-1))),ISNUMBER(TIMEVALUE(LEFT(N28,FIND("(",N28&amp;"(")-1))),IF(TIMEVALUE(LEFT(N26,FIND("(",N26&amp;"(")-1))&lt;=TIME(3,59,59),TIMEVALUE(LEFT(N26,FIND("(",N26&amp;"(")-1))+1,TIMEVALUE(LEFT(N26,FIND("(",N26&amp;"(")-1)))-60/1440&gt;IF(TIMEVALUE(LEFT(N28,FIND("(",N28&amp;"(")-1))&lt;=TIME(3,59,59),TIMEVALUE(LEFT(N28,FIND("(",N28&amp;"(")-1))+1,TIMEVALUE(LEFT(N28,FIND("(",N28&amp;"(")-1))))</formula>
    </cfRule>
  </conditionalFormatting>
  <conditionalFormatting sqref="T26:X26 T32:X32 T38:X38 T44:X44 T50:X50 T56:X56 T62:X62 T68:X68 T74:X74 T80:X80 T86:X86 T92:X92 T98:X98 T104:X104 T110:X110 T116:X116 T122:X122 T128:X128 T134:X134 T140:X140 T146:X146 T152:X152 T158:X158 T164:X164 T170:X170 T176:X176 T182:X182 T188:X188 T194:X194 T200:X200 T206:X206 T212:X212 T218:X218 T224:X224 T230:X230 T236:X236 T242:X242 T248:X248 T254:X254 T260:X260 T266:X266 T272:X272 T278:X278 T284:X284 T290:X290 T296:X296 T302:X302 T308:X308 T314:X314 T320:X320 T326:X326 T332:X332 T338:X338 T344:X344 T350:X350 T356:X356">
    <cfRule type="expression" priority="9" dxfId="4514">
      <formula>AND(ISNUMBER(TIMEVALUE(LEFT(T26,FIND("(",T26&amp;"(")-1))),ISNUMBER(TIMEVALUE(LEFT(T28,FIND("(",T28&amp;"(")-1))),IF(TIMEVALUE(LEFT(T26,FIND("(",T26&amp;"(")-1))&lt;=TIME(3,59,59),TIMEVALUE(LEFT(T26,FIND("(",T26&amp;"(")-1))+1,TIMEVALUE(LEFT(T26,FIND("(",T26&amp;"(")-1)))-60/1440&gt;IF(TIMEVALUE(LEFT(T28,FIND("(",T28&amp;"(")-1))&lt;=TIME(3,59,59),TIMEVALUE(LEFT(T28,FIND("(",T28&amp;"(")-1))+1,TIMEVALUE(LEFT(T28,FIND("(",T28&amp;"(")-1))))</formula>
    </cfRule>
  </conditionalFormatting>
  <conditionalFormatting sqref="Z26:AD26 Z32:AD32 Z38:AD38 Z44:AD44 Z50:AD50 Z56:AD56 Z62:AD62 Z68:AD68 Z74:AD74 Z80:AD80 Z86:AD86 Z92:AD92 Z98:AD98 Z104:AD104 Z110:AD110 Z116:AD116 Z122:AD122 Z128:AD128 Z134:AD134 Z140:AD140 Z146:AD146 Z152:AD152 Z158:AD158 Z164:AD164 Z170:AD170 Z176:AD176 Z182:AD182 Z188:AD188 Z194:AD194 Z200:AD200 Z206:AD206 Z212:AD212 Z218:AD218 Z224:AD224 Z230:AD230 Z236:AD236 Z242:AD242 Z248:AD248 Z254:AD254 Z260:AD260 Z266:AD266 Z272:AD272 Z278:AD278 Z284:AD284 Z290:AD290 Z296:AD296 Z302:AD302 Z308:AD308 Z314:AD314 Z320:AD320 Z326:AD326 Z332:AD332 Z338:AD338 Z344:AD344 Z350:AD350 Z356:AD356">
    <cfRule type="expression" priority="6" dxfId="4514">
      <formula>AND(ISNUMBER(TIMEVALUE(LEFT(Z26,FIND("(",Z26&amp;"(")-1))),ISNUMBER(TIMEVALUE(LEFT(Z28,FIND("(",Z28&amp;"(")-1))),IF(TIMEVALUE(LEFT(Z26,FIND("(",Z26&amp;"(")-1))&lt;=TIME(3,59,59),TIMEVALUE(LEFT(Z26,FIND("(",Z26&amp;"(")-1))+1,TIMEVALUE(LEFT(Z26,FIND("(",Z26&amp;"(")-1)))-60/1440&gt;IF(TIMEVALUE(LEFT(Z28,FIND("(",Z28&amp;"(")-1))&lt;=TIME(3,59,59),TIMEVALUE(LEFT(Z28,FIND("(",Z28&amp;"(")-1))+1,TIMEVALUE(LEFT(Z28,FIND("(",Z28&amp;"(")-1))))</formula>
    </cfRule>
  </conditionalFormatting>
  <conditionalFormatting sqref="AF26:AI26 AF32:AI32 AF38:AI38 AF44:AI44 AF50:AI50 AF56:AI56 AF62:AI62 AF68:AI68 AF74:AI74 AF80:AI80 AF86:AI86 AF92:AI92 AF98:AI98 AF104:AI104 AF110:AI110 AF116:AI116 AF122:AI122 AF128:AI128 AF134:AI134 AF140:AI140 AF146:AI146 AF152:AI152 AF158:AI158 AF164:AI164 AF170:AI170 AF176:AI176 AF182:AI182 AF188:AI188 AF194:AI194 AF200:AI200 AF206:AI206 AF212:AI212 AF218:AI218 AF224:AI224 AF230:AI230 AF236:AI236 AF242:AI242 AF248:AI248 AF254:AI254 AF260:AI260 AF266:AI266 AF272:AI272 AF278:AI278 AF284:AI284 AF290:AI290 AF296:AI296 AF302:AI302 AF308:AI308 AF314:AI314 AF320:AI320 AF326:AI326 AF332:AI332 AF338:AI338 AF344:AI344 AF350:AI350 AF356:AI356">
    <cfRule type="expression" priority="3" dxfId="4514">
      <formula>AND(ISNUMBER(TIMEVALUE(LEFT(AF26,FIND("(",AF26&amp;"(")-1))),ISNUMBER(TIMEVALUE(LEFT(AF28,FIND("(",AF28&amp;"(")-1))),IF(TIMEVALUE(LEFT(AF26,FIND("(",AF26&amp;"(")-1))&lt;=TIME(3,59,59),TIMEVALUE(LEFT(AF26,FIND("(",AF26&amp;"(")-1))+1,TIMEVALUE(LEFT(AF26,FIND("(",AF26&amp;"(")-1)))-60/1440&gt;IF(TIMEVALUE(LEFT(AF28,FIND("(",AF28&amp;"(")-1))&lt;=TIME(3,59,59),TIMEVALUE(LEFT(AF28,FIND("(",AF28&amp;"(")-1))+1,TIMEVALUE(LEFT(AF28,FIND("(",AF28&amp;"(")-1))))</formula>
    </cfRule>
  </conditionalFormatting>
  <pageMargins left="0.25" right="0.25" top="0.75" bottom="0.75" header="0.3" footer="0.3"/>
  <pageSetup orientation="landscape" paperSize="77" scale="37" fitToHeight="22"/>
</worksheet>
</file>

<file path=xl/worksheets/sheet8.xml><?xml version="1.0" encoding="utf-8"?>
<worksheet xmlns="http://schemas.openxmlformats.org/spreadsheetml/2006/main">
  <sheetPr codeName="Sheet11">
    <outlinePr summaryBelow="0"/>
    <pageSetUpPr fitToPage="1"/>
  </sheetPr>
  <dimension ref="A1:AJ1410"/>
  <sheetViews>
    <sheetView zoomScale="110" zoomScaleNormal="110" workbookViewId="0">
      <pane ySplit="5" topLeftCell="A564" activePane="bottomLeft" state="frozen"/>
      <selection pane="bottomLeft" activeCell="J5" sqref="J5"/>
    </sheetView>
  </sheetViews>
  <sheetFormatPr baseColWidth="10" defaultColWidth="9.1640625" defaultRowHeight="14"/>
  <cols>
    <col width="11.83203125" customWidth="1" style="129" min="1" max="3"/>
    <col width="15.6640625" customWidth="1" style="129" min="4" max="4"/>
    <col width="24.5" customWidth="1" style="129" min="5" max="5"/>
    <col width="14.33203125" customWidth="1" style="129" min="6" max="8"/>
    <col width="14.6640625" customWidth="1" style="129" min="9" max="9"/>
    <col width="11.1640625" customWidth="1" style="129" min="10" max="36"/>
  </cols>
  <sheetData>
    <row r="1" ht="16" customHeight="1" s="129">
      <c r="A1" s="33" t="n"/>
      <c r="B1" s="39" t="n"/>
      <c r="J1" s="64" t="inlineStr">
        <is>
          <t>单元格“黄色”，表示这是一个考勤补签</t>
        </is>
      </c>
    </row>
    <row r="2" ht="16" customHeight="1" s="129">
      <c r="A2" s="33" t="n"/>
      <c r="B2" s="39" t="n"/>
      <c r="F2" s="65" t="n"/>
      <c r="J2" s="41" t="inlineStr">
        <is>
          <t>字体“红色”，表示这个考勤数据有“异常”（与人脸识别相差60分钟以上）</t>
        </is>
      </c>
    </row>
    <row r="3" ht="16" customHeight="1" s="129">
      <c r="A3" s="33" t="n"/>
      <c r="B3" s="39" t="n"/>
      <c r="C3" s="33" t="n"/>
      <c r="D3" s="33" t="n"/>
      <c r="E3" s="33" t="n"/>
      <c r="F3" s="130" t="n"/>
      <c r="J3" s="41" t="inlineStr">
        <is>
          <t>字体“灰色”，表示这个日期没有人脸数据</t>
        </is>
      </c>
      <c r="K3" s="131" t="n"/>
      <c r="L3" s="131" t="n"/>
      <c r="M3" s="132" t="n"/>
      <c r="N3" s="131" t="n"/>
      <c r="O3" s="131" t="n"/>
      <c r="P3" s="131" t="n"/>
      <c r="Q3" s="131" t="n"/>
      <c r="R3" s="131" t="n"/>
      <c r="S3" s="132" t="n"/>
      <c r="T3" s="131" t="n"/>
      <c r="U3" s="131" t="n"/>
      <c r="V3" s="131" t="n"/>
      <c r="W3" s="131" t="n"/>
      <c r="X3" s="131" t="n"/>
      <c r="Y3" s="132" t="n"/>
      <c r="Z3" s="131" t="n"/>
      <c r="AA3" s="131" t="n"/>
      <c r="AB3" s="131" t="n"/>
      <c r="AC3" s="131" t="n"/>
      <c r="AD3" s="131" t="n"/>
      <c r="AE3" s="132" t="n"/>
      <c r="AF3" s="131" t="n"/>
      <c r="AG3" s="131" t="n"/>
      <c r="AH3" s="131" t="n"/>
      <c r="AI3" s="131" t="n"/>
      <c r="AJ3" s="131" t="n"/>
    </row>
    <row r="4" ht="14" customHeight="1" s="129">
      <c r="A4" s="33" t="n"/>
      <c r="B4" s="39" t="n"/>
      <c r="C4" s="33" t="n"/>
      <c r="D4" s="33" t="n"/>
      <c r="E4" s="33" t="n"/>
      <c r="F4" s="130" t="n"/>
      <c r="G4" s="133" t="n"/>
      <c r="H4" s="133" t="n"/>
      <c r="I4" s="33" t="n"/>
      <c r="J4" s="173" t="inlineStr">
        <is>
          <t>星期三</t>
        </is>
      </c>
      <c r="K4" s="173" t="inlineStr">
        <is>
          <t>星期四</t>
        </is>
      </c>
      <c r="L4" s="173" t="inlineStr">
        <is>
          <t>星期五</t>
        </is>
      </c>
      <c r="M4" s="132" t="inlineStr">
        <is>
          <t>周末/假期</t>
        </is>
      </c>
      <c r="N4" s="173" t="inlineStr">
        <is>
          <t>星期一</t>
        </is>
      </c>
      <c r="O4" s="173" t="inlineStr">
        <is>
          <t>星期二</t>
        </is>
      </c>
      <c r="P4" s="173" t="inlineStr">
        <is>
          <t>星期三</t>
        </is>
      </c>
      <c r="Q4" s="173" t="inlineStr">
        <is>
          <t>星期四</t>
        </is>
      </c>
      <c r="R4" s="173" t="inlineStr">
        <is>
          <t>星期五</t>
        </is>
      </c>
      <c r="S4" s="132" t="inlineStr">
        <is>
          <t>周末/假期</t>
        </is>
      </c>
      <c r="T4" s="173" t="inlineStr">
        <is>
          <t>星期一</t>
        </is>
      </c>
      <c r="U4" s="173" t="inlineStr">
        <is>
          <t>星期二</t>
        </is>
      </c>
      <c r="V4" s="173" t="inlineStr">
        <is>
          <t>星期三</t>
        </is>
      </c>
      <c r="W4" s="173" t="inlineStr">
        <is>
          <t>星期三</t>
        </is>
      </c>
      <c r="X4" s="173" t="inlineStr">
        <is>
          <t>星期四</t>
        </is>
      </c>
      <c r="Y4" s="132" t="inlineStr">
        <is>
          <t>周末/假期</t>
        </is>
      </c>
      <c r="Z4" s="173" t="inlineStr">
        <is>
          <t>星期一</t>
        </is>
      </c>
      <c r="AA4" s="173" t="inlineStr">
        <is>
          <t>星期二</t>
        </is>
      </c>
      <c r="AB4" s="173" t="inlineStr">
        <is>
          <t>星期三</t>
        </is>
      </c>
      <c r="AC4" s="173" t="inlineStr">
        <is>
          <t>星期四</t>
        </is>
      </c>
      <c r="AD4" s="173" t="inlineStr">
        <is>
          <t>星期五</t>
        </is>
      </c>
      <c r="AE4" s="132" t="inlineStr">
        <is>
          <t>周末/假期</t>
        </is>
      </c>
      <c r="AF4" s="173" t="inlineStr">
        <is>
          <t>星期一</t>
        </is>
      </c>
      <c r="AG4" s="173" t="inlineStr">
        <is>
          <t>星期二</t>
        </is>
      </c>
      <c r="AH4" s="173" t="inlineStr">
        <is>
          <t>星期三</t>
        </is>
      </c>
      <c r="AI4" s="173" t="inlineStr">
        <is>
          <t>星期四</t>
        </is>
      </c>
      <c r="AJ4" s="173" t="inlineStr">
        <is>
          <t>星期五</t>
        </is>
      </c>
    </row>
    <row r="5" ht="39" customHeight="1" s="129" thickBot="1">
      <c r="A5" s="1" t="inlineStr">
        <is>
          <t>员工编号</t>
        </is>
      </c>
      <c r="B5" s="1" t="inlineStr">
        <is>
          <t>员工姓名</t>
        </is>
      </c>
      <c r="C5" s="1" t="inlineStr">
        <is>
          <t>业务类别</t>
        </is>
      </c>
      <c r="D5" s="1" t="inlineStr">
        <is>
          <t>考勤类型</t>
        </is>
      </c>
      <c r="E5" s="1" t="inlineStr">
        <is>
          <t>部门</t>
        </is>
      </c>
      <c r="F5" s="1" t="inlineStr">
        <is>
          <t>日均在司时长
（人脸）</t>
        </is>
      </c>
      <c r="G5" s="1" t="inlineStr">
        <is>
          <t>日均在司时长
（签到/签退）</t>
        </is>
      </c>
      <c r="H5" s="1" t="inlineStr">
        <is>
          <t>考勤补签天数</t>
        </is>
      </c>
      <c r="I5" s="1" t="inlineStr">
        <is>
          <t>记录来源</t>
        </is>
      </c>
      <c r="J5" s="134" t="n">
        <v>46204</v>
      </c>
      <c r="K5" s="134">
        <f>J5+1</f>
        <v/>
      </c>
      <c r="L5" s="134">
        <f>K5+1</f>
        <v/>
      </c>
      <c r="N5" s="134">
        <f>L5+3</f>
        <v/>
      </c>
      <c r="O5" s="134">
        <f>N5+1</f>
        <v/>
      </c>
      <c r="P5" s="134">
        <f>O5+1</f>
        <v/>
      </c>
      <c r="Q5" s="134">
        <f>P5+1</f>
        <v/>
      </c>
      <c r="R5" s="134">
        <f>Q5+1</f>
        <v/>
      </c>
      <c r="T5" s="134">
        <f>R5+3</f>
        <v/>
      </c>
      <c r="U5" s="134">
        <f>T5+1</f>
        <v/>
      </c>
      <c r="V5" s="134">
        <f>U5+1</f>
        <v/>
      </c>
      <c r="W5" s="134">
        <f>V5+1</f>
        <v/>
      </c>
      <c r="X5" s="134">
        <f>W5+1</f>
        <v/>
      </c>
      <c r="Z5" s="134">
        <f>X5+3</f>
        <v/>
      </c>
      <c r="AA5" s="134">
        <f>Z5+1</f>
        <v/>
      </c>
      <c r="AB5" s="134">
        <f>AA5+1</f>
        <v/>
      </c>
      <c r="AC5" s="134">
        <f>AB5+1</f>
        <v/>
      </c>
      <c r="AD5" s="134">
        <f>AC5+1</f>
        <v/>
      </c>
      <c r="AF5" s="134">
        <f>AD5+3</f>
        <v/>
      </c>
      <c r="AG5" s="134">
        <f>AF5+1</f>
        <v/>
      </c>
      <c r="AH5" s="134">
        <f>AG5+1</f>
        <v/>
      </c>
      <c r="AI5" s="134">
        <f>AH5+1</f>
        <v/>
      </c>
      <c r="AJ5" s="134">
        <f>AI5+1</f>
        <v/>
      </c>
    </row>
    <row r="6" ht="17" customHeight="1" s="129" thickBot="1">
      <c r="A6" s="167" t="inlineStr">
        <is>
          <t>重点关注</t>
        </is>
      </c>
      <c r="B6" s="168" t="n"/>
      <c r="C6" s="168" t="n"/>
      <c r="D6" s="168" t="n"/>
      <c r="E6" s="168" t="n"/>
      <c r="F6" s="168" t="n"/>
      <c r="G6" s="168" t="n"/>
      <c r="H6" s="168" t="n"/>
      <c r="I6" s="168" t="n"/>
      <c r="J6" s="168" t="n"/>
      <c r="K6" s="168" t="n"/>
      <c r="L6" s="168" t="n"/>
      <c r="M6" s="168" t="n"/>
      <c r="N6" s="168" t="n"/>
      <c r="O6" s="168" t="n"/>
      <c r="P6" s="168" t="n"/>
      <c r="Q6" s="168" t="n"/>
      <c r="R6" s="168" t="n"/>
      <c r="S6" s="168" t="n"/>
      <c r="T6" s="168" t="n"/>
      <c r="U6" s="168" t="n"/>
      <c r="V6" s="168" t="n"/>
      <c r="W6" s="168" t="n"/>
      <c r="X6" s="168" t="n"/>
      <c r="Y6" s="168" t="n"/>
      <c r="Z6" s="168" t="n"/>
      <c r="AA6" s="168" t="n"/>
      <c r="AB6" s="168" t="n"/>
      <c r="AC6" s="168" t="n"/>
      <c r="AD6" s="168" t="n"/>
      <c r="AE6" s="168" t="n"/>
      <c r="AF6" s="168" t="n"/>
      <c r="AG6" s="168" t="n"/>
      <c r="AH6" s="168" t="n"/>
      <c r="AI6" s="168" t="n"/>
      <c r="AJ6" s="169" t="n"/>
    </row>
    <row r="7">
      <c r="A7" s="85" t="inlineStr">
        <is>
          <t>E00001</t>
        </is>
      </c>
      <c r="B7" s="88" t="inlineStr">
        <is>
          <t>示例员工</t>
        </is>
      </c>
      <c r="C7" s="88" t="inlineStr">
        <is>
          <t>示例业务</t>
        </is>
      </c>
      <c r="D7" s="88" t="inlineStr">
        <is>
          <t>标准工时</t>
        </is>
      </c>
      <c r="E7" s="92" t="inlineStr">
        <is>
          <t>综合管理部</t>
        </is>
      </c>
      <c r="F7" s="174">
        <f>IF(C7="洪恩","-",VLOOKUP(A7,统计数据!$A:$H,8,0))</f>
        <v/>
      </c>
      <c r="G7" s="175">
        <f>VLOOKUP(A7,统计数据!$A:$H,4,0)</f>
        <v/>
      </c>
      <c r="H7" s="88">
        <f>VLOOKUP(A7,统计数据!$A:$H,6,0)</f>
        <v/>
      </c>
      <c r="I7" s="104" t="inlineStr">
        <is>
          <t>A（签到/签退）</t>
        </is>
      </c>
      <c r="J7" s="176">
        <f>IFERROR(IF(INDEX(原始数据!$D:$D,MATCH($A7&amp;J$5,原始数据!$X:$X,0))="","--:--",TEXT(INDEX(原始数据!$D:$D,MATCH($A7&amp;J$5,原始数据!$X:$X,0)),"hh:mm")),"--:--")</f>
        <v/>
      </c>
      <c r="K7" s="176">
        <f>IFERROR(IF(INDEX(原始数据!$D:$D,MATCH($A7&amp;K$5,原始数据!$X:$X,0))="","--:--",TEXT(INDEX(原始数据!$D:$D,MATCH($A7&amp;K$5,原始数据!$X:$X,0)),"hh:mm")),"--:--")</f>
        <v/>
      </c>
      <c r="L7" s="176">
        <f>IFERROR(IF(INDEX(原始数据!$D:$D,MATCH($A7&amp;L$5,原始数据!$X:$X,0))="","--:--",TEXT(INDEX(原始数据!$D:$D,MATCH($A7&amp;L$5,原始数据!$X:$X,0)),"hh:mm")),"--:--")</f>
        <v/>
      </c>
      <c r="M7" s="70" t="n"/>
      <c r="N7" s="176">
        <f>IFERROR(IF(INDEX(原始数据!$D:$D,MATCH($A7&amp;N$5,原始数据!$X:$X,0))="","--:--",TEXT(INDEX(原始数据!$D:$D,MATCH($A7&amp;N$5,原始数据!$X:$X,0)),"hh:mm")),"--:--")</f>
        <v/>
      </c>
      <c r="O7" s="176">
        <f>IFERROR(IF(INDEX(原始数据!$D:$D,MATCH($A7&amp;O$5,原始数据!$X:$X,0))="","--:--",TEXT(INDEX(原始数据!$D:$D,MATCH($A7&amp;O$5,原始数据!$X:$X,0)),"hh:mm")),"--:--")</f>
        <v/>
      </c>
      <c r="P7" s="176">
        <f>IFERROR(IF(INDEX(原始数据!$D:$D,MATCH($A7&amp;P$5,原始数据!$X:$X,0))="","--:--",TEXT(INDEX(原始数据!$D:$D,MATCH($A7&amp;P$5,原始数据!$X:$X,0)),"hh:mm")),"--:--")</f>
        <v/>
      </c>
      <c r="Q7" s="176">
        <f>IFERROR(IF(INDEX(原始数据!$D:$D,MATCH($A7&amp;Q$5,原始数据!$X:$X,0))="","--:--",TEXT(INDEX(原始数据!$D:$D,MATCH($A7&amp;Q$5,原始数据!$X:$X,0)),"hh:mm")),"--:--")</f>
        <v/>
      </c>
      <c r="R7" s="176">
        <f>IFERROR(IF(INDEX(原始数据!$D:$D,MATCH($A7&amp;R$5,原始数据!$X:$X,0))="","--:--",TEXT(INDEX(原始数据!$D:$D,MATCH($A7&amp;R$5,原始数据!$X:$X,0)),"hh:mm")),"--:--")</f>
        <v/>
      </c>
      <c r="S7" s="70" t="n"/>
      <c r="T7" s="176">
        <f>IFERROR(IF(INDEX(原始数据!$D:$D,MATCH($A7&amp;T$5,原始数据!$X:$X,0))="","--:--",TEXT(INDEX(原始数据!$D:$D,MATCH($A7&amp;T$5,原始数据!$X:$X,0)),"hh:mm")),"--:--")</f>
        <v/>
      </c>
      <c r="U7" s="176">
        <f>IFERROR(IF(INDEX(原始数据!$D:$D,MATCH($A7&amp;U$5,原始数据!$X:$X,0))="","--:--",TEXT(INDEX(原始数据!$D:$D,MATCH($A7&amp;U$5,原始数据!$X:$X,0)),"hh:mm")),"--:--")</f>
        <v/>
      </c>
      <c r="V7" s="176">
        <f>IFERROR(IF(INDEX(原始数据!$D:$D,MATCH($A7&amp;V$5,原始数据!$X:$X,0))="","--:--",TEXT(INDEX(原始数据!$D:$D,MATCH($A7&amp;V$5,原始数据!$X:$X,0)),"hh:mm")),"--:--")</f>
        <v/>
      </c>
      <c r="W7" s="176">
        <f>IFERROR(IF(INDEX(原始数据!$D:$D,MATCH($A7&amp;W$5,原始数据!$X:$X,0))="","--:--",TEXT(INDEX(原始数据!$D:$D,MATCH($A7&amp;W$5,原始数据!$X:$X,0)),"hh:mm")),"--:--")</f>
        <v/>
      </c>
      <c r="X7" s="176">
        <f>IFERROR(IF(INDEX(原始数据!$D:$D,MATCH($A7&amp;X$5,原始数据!$X:$X,0))="","--:--",TEXT(INDEX(原始数据!$D:$D,MATCH($A7&amp;X$5,原始数据!$X:$X,0)),"hh:mm")),"--:--")</f>
        <v/>
      </c>
      <c r="Y7" s="70" t="n"/>
      <c r="Z7" s="176">
        <f>IFERROR(IF(INDEX(原始数据!$D:$D,MATCH($A7&amp;Z$5,原始数据!$X:$X,0))="","--:--",TEXT(INDEX(原始数据!$D:$D,MATCH($A7&amp;Z$5,原始数据!$X:$X,0)),"hh:mm")),"--:--")</f>
        <v/>
      </c>
      <c r="AA7" s="176">
        <f>IFERROR(IF(INDEX(原始数据!$D:$D,MATCH($A7&amp;AA$5,原始数据!$X:$X,0))="","--:--",TEXT(INDEX(原始数据!$D:$D,MATCH($A7&amp;AA$5,原始数据!$X:$X,0)),"hh:mm")),"--:--")</f>
        <v/>
      </c>
      <c r="AB7" s="176">
        <f>IFERROR(IF(INDEX(原始数据!$D:$D,MATCH($A7&amp;AB$5,原始数据!$X:$X,0))="","--:--",TEXT(INDEX(原始数据!$D:$D,MATCH($A7&amp;AB$5,原始数据!$X:$X,0)),"hh:mm")),"--:--")</f>
        <v/>
      </c>
      <c r="AC7" s="176">
        <f>IFERROR(IF(INDEX(原始数据!$D:$D,MATCH($A7&amp;AC$5,原始数据!$X:$X,0))="","--:--",TEXT(INDEX(原始数据!$D:$D,MATCH($A7&amp;AC$5,原始数据!$X:$X,0)),"hh:mm")),"--:--")</f>
        <v/>
      </c>
      <c r="AD7" s="177">
        <f>IFERROR(IF(INDEX(原始数据!$D:$D,MATCH($A7&amp;AD$5,原始数据!$X:$X,0))="","--:--",TEXT(INDEX(原始数据!$D:$D,MATCH($A7&amp;AD$5,原始数据!$X:$X,0)),"hh:mm")),"--:--")</f>
        <v/>
      </c>
      <c r="AE7" s="70" t="n"/>
      <c r="AF7" s="176">
        <f>IFERROR(IF(INDEX(原始数据!$D:$D,MATCH($A7&amp;AF$5,原始数据!$X:$X,0))="","--:--",TEXT(INDEX(原始数据!$D:$D,MATCH($A7&amp;AF$5,原始数据!$X:$X,0)),"hh:mm")),"--:--")</f>
        <v/>
      </c>
      <c r="AG7" s="176">
        <f>IFERROR(IF(INDEX(原始数据!$D:$D,MATCH($A7&amp;AG$5,原始数据!$X:$X,0))="","--:--",TEXT(INDEX(原始数据!$D:$D,MATCH($A7&amp;AG$5,原始数据!$X:$X,0)),"hh:mm")),"--:--")</f>
        <v/>
      </c>
      <c r="AH7" s="176" t="n"/>
      <c r="AI7" s="176" t="n"/>
      <c r="AJ7" s="177">
        <f>IFERROR(IF(INDEX(原始数据!$D:$D,MATCH($A7&amp;AJ$5,原始数据!$X:$X,0))="","--:--",TEXT(INDEX(原始数据!$D:$D,MATCH($A7&amp;AJ$5,原始数据!$X:$X,0)),"hh:mm")),"--:--")</f>
        <v/>
      </c>
    </row>
    <row r="8">
      <c r="A8" s="145" t="n"/>
      <c r="I8" s="146" t="n"/>
      <c r="J8" s="147">
        <f>IFERROR(IF(INDEX(原始数据!$E:$E,MATCH($A8&amp;J$5,原始数据!$X:$X,0))="","--:--",IF(AND(VALUE(INDEX(原始数据!$E:$E,MATCH($A8&amp;J$5,原始数据!$X:$X,0)))&gt;=TIME(0,1,0),VALUE(INDEX(原始数据!$E:$E,MATCH($A8&amp;J$5,原始数据!$X:$X,0)))&lt;TIME(4,0,0)),TEXT(INDEX(原始数据!$E:$E,MATCH($A8&amp;J$5,原始数据!$X:$X,0)),"hh:mm")&amp;"(+1)",TEXT(INDEX(原始数据!$E:$E,MATCH($A8&amp;J$5,原始数据!$X:$X,0)),"hh:mm"))),"--:--")</f>
        <v/>
      </c>
      <c r="K8" s="147">
        <f>IFERROR(IF(INDEX(原始数据!$E:$E,MATCH($A8&amp;K$5,原始数据!$X:$X,0))="","--:--",IF(AND(VALUE(INDEX(原始数据!$E:$E,MATCH($A8&amp;K$5,原始数据!$X:$X,0)))&gt;=TIME(0,1,0),VALUE(INDEX(原始数据!$E:$E,MATCH($A8&amp;K$5,原始数据!$X:$X,0)))&lt;TIME(4,0,0)),TEXT(INDEX(原始数据!$E:$E,MATCH($A8&amp;K$5,原始数据!$X:$X,0)),"hh:mm")&amp;"(+1)",TEXT(INDEX(原始数据!$E:$E,MATCH($A8&amp;K$5,原始数据!$X:$X,0)),"hh:mm"))),"--:--")</f>
        <v/>
      </c>
      <c r="L8" s="147">
        <f>IFERROR(IF(INDEX(原始数据!$E:$E,MATCH($A8&amp;L$5,原始数据!$X:$X,0))="","--:--",IF(AND(VALUE(INDEX(原始数据!$E:$E,MATCH($A8&amp;L$5,原始数据!$X:$X,0)))&gt;=TIME(0,1,0),VALUE(INDEX(原始数据!$E:$E,MATCH($A8&amp;L$5,原始数据!$X:$X,0)))&lt;TIME(4,0,0)),TEXT(INDEX(原始数据!$E:$E,MATCH($A8&amp;L$5,原始数据!$X:$X,0)),"hh:mm")&amp;"(+1)",TEXT(INDEX(原始数据!$E:$E,MATCH($A8&amp;L$5,原始数据!$X:$X,0)),"hh:mm"))),"--:--")</f>
        <v/>
      </c>
      <c r="M8" s="70" t="n"/>
      <c r="N8" s="147">
        <f>IFERROR(IF(INDEX(原始数据!$E:$E,MATCH($A8&amp;N$5,原始数据!$X:$X,0))="","--:--",IF(AND(VALUE(INDEX(原始数据!$E:$E,MATCH($A8&amp;N$5,原始数据!$X:$X,0)))&gt;=TIME(0,1,0),VALUE(INDEX(原始数据!$E:$E,MATCH($A8&amp;N$5,原始数据!$X:$X,0)))&lt;TIME(4,0,0)),TEXT(INDEX(原始数据!$E:$E,MATCH($A8&amp;N$5,原始数据!$X:$X,0)),"hh:mm")&amp;"(+1)",TEXT(INDEX(原始数据!$E:$E,MATCH($A8&amp;N$5,原始数据!$X:$X,0)),"hh:mm"))),"--:--")</f>
        <v/>
      </c>
      <c r="O8" s="147">
        <f>IFERROR(IF(INDEX(原始数据!$E:$E,MATCH($A8&amp;O$5,原始数据!$X:$X,0))="","--:--",IF(AND(VALUE(INDEX(原始数据!$E:$E,MATCH($A8&amp;O$5,原始数据!$X:$X,0)))&gt;=TIME(0,1,0),VALUE(INDEX(原始数据!$E:$E,MATCH($A8&amp;O$5,原始数据!$X:$X,0)))&lt;TIME(4,0,0)),TEXT(INDEX(原始数据!$E:$E,MATCH($A8&amp;O$5,原始数据!$X:$X,0)),"hh:mm")&amp;"(+1)",TEXT(INDEX(原始数据!$E:$E,MATCH($A8&amp;O$5,原始数据!$X:$X,0)),"hh:mm"))),"--:--")</f>
        <v/>
      </c>
      <c r="P8" s="147">
        <f>IFERROR(IF(INDEX(原始数据!$E:$E,MATCH($A8&amp;P$5,原始数据!$X:$X,0))="","--:--",IF(AND(VALUE(INDEX(原始数据!$E:$E,MATCH($A8&amp;P$5,原始数据!$X:$X,0)))&gt;=TIME(0,1,0),VALUE(INDEX(原始数据!$E:$E,MATCH($A8&amp;P$5,原始数据!$X:$X,0)))&lt;TIME(4,0,0)),TEXT(INDEX(原始数据!$E:$E,MATCH($A8&amp;P$5,原始数据!$X:$X,0)),"hh:mm")&amp;"(+1)",TEXT(INDEX(原始数据!$E:$E,MATCH($A8&amp;P$5,原始数据!$X:$X,0)),"hh:mm"))),"--:--")</f>
        <v/>
      </c>
      <c r="Q8" s="147">
        <f>IFERROR(IF(INDEX(原始数据!$E:$E,MATCH($A8&amp;Q$5,原始数据!$X:$X,0))="","--:--",IF(AND(VALUE(INDEX(原始数据!$E:$E,MATCH($A8&amp;Q$5,原始数据!$X:$X,0)))&gt;=TIME(0,1,0),VALUE(INDEX(原始数据!$E:$E,MATCH($A8&amp;Q$5,原始数据!$X:$X,0)))&lt;TIME(4,0,0)),TEXT(INDEX(原始数据!$E:$E,MATCH($A8&amp;Q$5,原始数据!$X:$X,0)),"hh:mm")&amp;"(+1)",TEXT(INDEX(原始数据!$E:$E,MATCH($A8&amp;Q$5,原始数据!$X:$X,0)),"hh:mm"))),"--:--")</f>
        <v/>
      </c>
      <c r="R8" s="147">
        <f>IFERROR(IF(INDEX(原始数据!$E:$E,MATCH($A8&amp;R$5,原始数据!$X:$X,0))="","--:--",IF(AND(VALUE(INDEX(原始数据!$E:$E,MATCH($A8&amp;R$5,原始数据!$X:$X,0)))&gt;=TIME(0,1,0),VALUE(INDEX(原始数据!$E:$E,MATCH($A8&amp;R$5,原始数据!$X:$X,0)))&lt;TIME(4,0,0)),TEXT(INDEX(原始数据!$E:$E,MATCH($A8&amp;R$5,原始数据!$X:$X,0)),"hh:mm")&amp;"(+1)",TEXT(INDEX(原始数据!$E:$E,MATCH($A8&amp;R$5,原始数据!$X:$X,0)),"hh:mm"))),"--:--")</f>
        <v/>
      </c>
      <c r="S8" s="70" t="n"/>
      <c r="T8" s="147">
        <f>IFERROR(IF(INDEX(原始数据!$E:$E,MATCH($A8&amp;T$5,原始数据!$X:$X,0))="","--:--",IF(AND(VALUE(INDEX(原始数据!$E:$E,MATCH($A8&amp;T$5,原始数据!$X:$X,0)))&gt;=TIME(0,1,0),VALUE(INDEX(原始数据!$E:$E,MATCH($A8&amp;T$5,原始数据!$X:$X,0)))&lt;TIME(4,0,0)),TEXT(INDEX(原始数据!$E:$E,MATCH($A8&amp;T$5,原始数据!$X:$X,0)),"hh:mm")&amp;"(+1)",TEXT(INDEX(原始数据!$E:$E,MATCH($A8&amp;T$5,原始数据!$X:$X,0)),"hh:mm"))),"--:--")</f>
        <v/>
      </c>
      <c r="U8" s="147">
        <f>IFERROR(IF(INDEX(原始数据!$E:$E,MATCH($A8&amp;U$5,原始数据!$X:$X,0))="","--:--",IF(AND(VALUE(INDEX(原始数据!$E:$E,MATCH($A8&amp;U$5,原始数据!$X:$X,0)))&gt;=TIME(0,1,0),VALUE(INDEX(原始数据!$E:$E,MATCH($A8&amp;U$5,原始数据!$X:$X,0)))&lt;TIME(4,0,0)),TEXT(INDEX(原始数据!$E:$E,MATCH($A8&amp;U$5,原始数据!$X:$X,0)),"hh:mm")&amp;"(+1)",TEXT(INDEX(原始数据!$E:$E,MATCH($A8&amp;U$5,原始数据!$X:$X,0)),"hh:mm"))),"--:--")</f>
        <v/>
      </c>
      <c r="V8" s="147">
        <f>IFERROR(IF(INDEX(原始数据!$E:$E,MATCH($A8&amp;V$5,原始数据!$X:$X,0))="","--:--",IF(AND(VALUE(INDEX(原始数据!$E:$E,MATCH($A8&amp;V$5,原始数据!$X:$X,0)))&gt;=TIME(0,1,0),VALUE(INDEX(原始数据!$E:$E,MATCH($A8&amp;V$5,原始数据!$X:$X,0)))&lt;TIME(4,0,0)),TEXT(INDEX(原始数据!$E:$E,MATCH($A8&amp;V$5,原始数据!$X:$X,0)),"hh:mm")&amp;"(+1)",TEXT(INDEX(原始数据!$E:$E,MATCH($A8&amp;V$5,原始数据!$X:$X,0)),"hh:mm"))),"--:--")</f>
        <v/>
      </c>
      <c r="W8" s="147">
        <f>IFERROR(IF(INDEX(原始数据!$E:$E,MATCH($A8&amp;W$5,原始数据!$X:$X,0))="","--:--",IF(AND(VALUE(INDEX(原始数据!$E:$E,MATCH($A8&amp;W$5,原始数据!$X:$X,0)))&gt;=TIME(0,1,0),VALUE(INDEX(原始数据!$E:$E,MATCH($A8&amp;W$5,原始数据!$X:$X,0)))&lt;TIME(4,0,0)),TEXT(INDEX(原始数据!$E:$E,MATCH($A8&amp;W$5,原始数据!$X:$X,0)),"hh:mm")&amp;"(+1)",TEXT(INDEX(原始数据!$E:$E,MATCH($A8&amp;W$5,原始数据!$X:$X,0)),"hh:mm"))),"--:--")</f>
        <v/>
      </c>
      <c r="X8" s="147">
        <f>IFERROR(IF(INDEX(原始数据!$E:$E,MATCH($A8&amp;X$5,原始数据!$X:$X,0))="","--:--",IF(AND(VALUE(INDEX(原始数据!$E:$E,MATCH($A8&amp;X$5,原始数据!$X:$X,0)))&gt;=TIME(0,1,0),VALUE(INDEX(原始数据!$E:$E,MATCH($A8&amp;X$5,原始数据!$X:$X,0)))&lt;TIME(4,0,0)),TEXT(INDEX(原始数据!$E:$E,MATCH($A8&amp;X$5,原始数据!$X:$X,0)),"hh:mm")&amp;"(+1)",TEXT(INDEX(原始数据!$E:$E,MATCH($A8&amp;X$5,原始数据!$X:$X,0)),"hh:mm"))),"--:--")</f>
        <v/>
      </c>
      <c r="Y8" s="70" t="n"/>
      <c r="Z8" s="147">
        <f>IFERROR(IF(INDEX(原始数据!$E:$E,MATCH($A8&amp;Z$5,原始数据!$X:$X,0))="","--:--",IF(AND(VALUE(INDEX(原始数据!$E:$E,MATCH($A8&amp;Z$5,原始数据!$X:$X,0)))&gt;=TIME(0,1,0),VALUE(INDEX(原始数据!$E:$E,MATCH($A8&amp;Z$5,原始数据!$X:$X,0)))&lt;TIME(4,0,0)),TEXT(INDEX(原始数据!$E:$E,MATCH($A8&amp;Z$5,原始数据!$X:$X,0)),"hh:mm")&amp;"(+1)",TEXT(INDEX(原始数据!$E:$E,MATCH($A8&amp;Z$5,原始数据!$X:$X,0)),"hh:mm"))),"--:--")</f>
        <v/>
      </c>
      <c r="AA8" s="147">
        <f>IFERROR(IF(INDEX(原始数据!$E:$E,MATCH($A8&amp;AA$5,原始数据!$X:$X,0))="","--:--",IF(AND(VALUE(INDEX(原始数据!$E:$E,MATCH($A8&amp;AA$5,原始数据!$X:$X,0)))&gt;=TIME(0,1,0),VALUE(INDEX(原始数据!$E:$E,MATCH($A8&amp;AA$5,原始数据!$X:$X,0)))&lt;TIME(4,0,0)),TEXT(INDEX(原始数据!$E:$E,MATCH($A8&amp;AA$5,原始数据!$X:$X,0)),"hh:mm")&amp;"(+1)",TEXT(INDEX(原始数据!$E:$E,MATCH($A8&amp;AA$5,原始数据!$X:$X,0)),"hh:mm"))),"--:--")</f>
        <v/>
      </c>
      <c r="AB8" s="147">
        <f>IFERROR(IF(INDEX(原始数据!$E:$E,MATCH($A8&amp;AB$5,原始数据!$X:$X,0))="","--:--",IF(AND(VALUE(INDEX(原始数据!$E:$E,MATCH($A8&amp;AB$5,原始数据!$X:$X,0)))&gt;=TIME(0,1,0),VALUE(INDEX(原始数据!$E:$E,MATCH($A8&amp;AB$5,原始数据!$X:$X,0)))&lt;TIME(4,0,0)),TEXT(INDEX(原始数据!$E:$E,MATCH($A8&amp;AB$5,原始数据!$X:$X,0)),"hh:mm")&amp;"(+1)",TEXT(INDEX(原始数据!$E:$E,MATCH($A8&amp;AB$5,原始数据!$X:$X,0)),"hh:mm"))),"--:--")</f>
        <v/>
      </c>
      <c r="AC8" s="147">
        <f>IFERROR(IF(INDEX(原始数据!$E:$E,MATCH($A8&amp;AC$5,原始数据!$X:$X,0))="","--:--",IF(AND(VALUE(INDEX(原始数据!$E:$E,MATCH($A8&amp;AC$5,原始数据!$X:$X,0)))&gt;=TIME(0,1,0),VALUE(INDEX(原始数据!$E:$E,MATCH($A8&amp;AC$5,原始数据!$X:$X,0)))&lt;TIME(4,0,0)),TEXT(INDEX(原始数据!$E:$E,MATCH($A8&amp;AC$5,原始数据!$X:$X,0)),"hh:mm")&amp;"(+1)",TEXT(INDEX(原始数据!$E:$E,MATCH($A8&amp;AC$5,原始数据!$X:$X,0)),"hh:mm"))),"--:--")</f>
        <v/>
      </c>
      <c r="AD8" s="148">
        <f>IFERROR(IF(INDEX(原始数据!$E:$E,MATCH($A8&amp;AD$5,原始数据!$X:$X,0))="","--:--",IF(AND(VALUE(INDEX(原始数据!$E:$E,MATCH($A8&amp;AD$5,原始数据!$X:$X,0)))&gt;=TIME(0,1,0),VALUE(INDEX(原始数据!$E:$E,MATCH($A8&amp;AD$5,原始数据!$X:$X,0)))&lt;TIME(4,0,0)),TEXT(INDEX(原始数据!$E:$E,MATCH($A8&amp;AD$5,原始数据!$X:$X,0)),"hh:mm")&amp;"(+1)",TEXT(INDEX(原始数据!$E:$E,MATCH($A8&amp;AD$5,原始数据!$X:$X,0)),"hh:mm"))),"--:--")</f>
        <v/>
      </c>
      <c r="AE8" s="70" t="n"/>
      <c r="AF8" s="147">
        <f>IFERROR(IF(INDEX(原始数据!$E:$E,MATCH($A8&amp;AF$5,原始数据!$X:$X,0))="","--:--",IF(AND(VALUE(INDEX(原始数据!$E:$E,MATCH($A8&amp;AF$5,原始数据!$X:$X,0)))&gt;=TIME(0,1,0),VALUE(INDEX(原始数据!$E:$E,MATCH($A8&amp;AF$5,原始数据!$X:$X,0)))&lt;TIME(4,0,0)),TEXT(INDEX(原始数据!$E:$E,MATCH($A8&amp;AF$5,原始数据!$X:$X,0)),"hh:mm")&amp;"(+1)",TEXT(INDEX(原始数据!$E:$E,MATCH($A8&amp;AF$5,原始数据!$X:$X,0)),"hh:mm"))),"--:--")</f>
        <v/>
      </c>
      <c r="AG8" s="147">
        <f>IFERROR(IF(INDEX(原始数据!$E:$E,MATCH($A8&amp;AG$5,原始数据!$X:$X,0))="","--:--",IF(AND(VALUE(INDEX(原始数据!$E:$E,MATCH($A8&amp;AG$5,原始数据!$X:$X,0)))&gt;=TIME(0,1,0),VALUE(INDEX(原始数据!$E:$E,MATCH($A8&amp;AG$5,原始数据!$X:$X,0)))&lt;TIME(4,0,0)),TEXT(INDEX(原始数据!$E:$E,MATCH($A8&amp;AG$5,原始数据!$X:$X,0)),"hh:mm")&amp;"(+1)",TEXT(INDEX(原始数据!$E:$E,MATCH($A8&amp;AG$5,原始数据!$X:$X,0)),"hh:mm"))),"--:--")</f>
        <v/>
      </c>
      <c r="AH8" s="147" t="n"/>
      <c r="AI8" s="147" t="n"/>
      <c r="AJ8" s="148">
        <f>IFERROR(IF(INDEX(原始数据!$E:$E,MATCH($A8&amp;AJ$5,原始数据!$X:$X,0))="","--:--",IF(AND(VALUE(INDEX(原始数据!$E:$E,MATCH($A8&amp;AJ$5,原始数据!$X:$X,0)))&gt;=TIME(0,1,0),VALUE(INDEX(原始数据!$E:$E,MATCH($A8&amp;AJ$5,原始数据!$X:$X,0)))&lt;TIME(4,0,0)),TEXT(INDEX(原始数据!$E:$E,MATCH($A8&amp;AJ$5,原始数据!$X:$X,0)),"hh:mm")&amp;"(+1)",TEXT(INDEX(原始数据!$E:$E,MATCH($A8&amp;AJ$5,原始数据!$X:$X,0)),"hh:mm"))),"--:--")</f>
        <v/>
      </c>
    </row>
    <row r="9">
      <c r="A9" s="145" t="n"/>
      <c r="I9" s="149" t="inlineStr">
        <is>
          <t>B（人脸）</t>
        </is>
      </c>
      <c r="J9" s="150" t="inlineStr">
        <is>
          <t>--:--</t>
        </is>
      </c>
      <c r="K9" s="150" t="inlineStr">
        <is>
          <t>--:--</t>
        </is>
      </c>
      <c r="L9" s="150" t="inlineStr">
        <is>
          <t>--:--</t>
        </is>
      </c>
      <c r="M9" s="70" t="n"/>
      <c r="N9" s="150" t="inlineStr">
        <is>
          <t>--:--</t>
        </is>
      </c>
      <c r="O9" s="150" t="inlineStr">
        <is>
          <t>--:--</t>
        </is>
      </c>
      <c r="P9" s="150" t="inlineStr">
        <is>
          <t>--:--</t>
        </is>
      </c>
      <c r="Q9" s="150" t="inlineStr">
        <is>
          <t>--:--</t>
        </is>
      </c>
      <c r="R9" s="150" t="inlineStr">
        <is>
          <t>--:--</t>
        </is>
      </c>
      <c r="S9" s="70" t="n"/>
      <c r="T9" s="150" t="inlineStr">
        <is>
          <t>--:--</t>
        </is>
      </c>
      <c r="U9" s="150" t="inlineStr">
        <is>
          <t>--:--</t>
        </is>
      </c>
      <c r="V9" s="150" t="inlineStr">
        <is>
          <t>--:--</t>
        </is>
      </c>
      <c r="W9" s="150" t="inlineStr">
        <is>
          <t>--:--</t>
        </is>
      </c>
      <c r="X9" s="150" t="inlineStr">
        <is>
          <t>--:--</t>
        </is>
      </c>
      <c r="Y9" s="70" t="n"/>
      <c r="Z9" s="150" t="inlineStr">
        <is>
          <t>--:--</t>
        </is>
      </c>
      <c r="AA9" s="150" t="inlineStr">
        <is>
          <t>--:--</t>
        </is>
      </c>
      <c r="AB9" s="150" t="inlineStr">
        <is>
          <t>--:--</t>
        </is>
      </c>
      <c r="AC9" s="150" t="inlineStr">
        <is>
          <t>--:--</t>
        </is>
      </c>
      <c r="AD9" s="151" t="inlineStr">
        <is>
          <t>--:--</t>
        </is>
      </c>
      <c r="AE9" s="70" t="n"/>
      <c r="AF9" s="150" t="inlineStr">
        <is>
          <t>--:--</t>
        </is>
      </c>
      <c r="AG9" s="150" t="inlineStr">
        <is>
          <t>--:--</t>
        </is>
      </c>
      <c r="AH9" s="150" t="n"/>
      <c r="AI9" s="150" t="n"/>
      <c r="AJ9" s="151" t="inlineStr">
        <is>
          <t>--:--</t>
        </is>
      </c>
    </row>
    <row r="10">
      <c r="A10" s="145" t="n"/>
      <c r="I10" s="146" t="n"/>
      <c r="J10" s="152" t="inlineStr">
        <is>
          <t>--:--</t>
        </is>
      </c>
      <c r="K10" s="152" t="inlineStr">
        <is>
          <t>--:--</t>
        </is>
      </c>
      <c r="L10" s="152" t="inlineStr">
        <is>
          <t>--:--</t>
        </is>
      </c>
      <c r="M10" s="70" t="n"/>
      <c r="N10" s="152" t="inlineStr">
        <is>
          <t>--:--</t>
        </is>
      </c>
      <c r="O10" s="152" t="inlineStr">
        <is>
          <t>--:--</t>
        </is>
      </c>
      <c r="P10" s="152" t="inlineStr">
        <is>
          <t>--:--</t>
        </is>
      </c>
      <c r="Q10" s="152" t="inlineStr">
        <is>
          <t>--:--</t>
        </is>
      </c>
      <c r="R10" s="152" t="inlineStr">
        <is>
          <t>--:--</t>
        </is>
      </c>
      <c r="S10" s="70" t="n"/>
      <c r="T10" s="152" t="inlineStr">
        <is>
          <t>--:--</t>
        </is>
      </c>
      <c r="U10" s="152" t="inlineStr">
        <is>
          <t>--:--</t>
        </is>
      </c>
      <c r="V10" s="152" t="inlineStr">
        <is>
          <t>--:--</t>
        </is>
      </c>
      <c r="W10" s="152" t="inlineStr">
        <is>
          <t>--:--</t>
        </is>
      </c>
      <c r="X10" s="152" t="inlineStr">
        <is>
          <t>--:--</t>
        </is>
      </c>
      <c r="Y10" s="70" t="n"/>
      <c r="Z10" s="152" t="inlineStr">
        <is>
          <t>--:--</t>
        </is>
      </c>
      <c r="AA10" s="152" t="inlineStr">
        <is>
          <t>--:--</t>
        </is>
      </c>
      <c r="AB10" s="152" t="inlineStr">
        <is>
          <t>--:--</t>
        </is>
      </c>
      <c r="AC10" s="152" t="inlineStr">
        <is>
          <t>--:--</t>
        </is>
      </c>
      <c r="AD10" s="153" t="inlineStr">
        <is>
          <t>--:--</t>
        </is>
      </c>
      <c r="AE10" s="70" t="n"/>
      <c r="AF10" s="152" t="inlineStr">
        <is>
          <t>--:--</t>
        </is>
      </c>
      <c r="AG10" s="152" t="inlineStr">
        <is>
          <t>--:--</t>
        </is>
      </c>
      <c r="AH10" s="152" t="n"/>
      <c r="AI10" s="152" t="n"/>
      <c r="AJ10" s="153" t="inlineStr">
        <is>
          <t>--:--</t>
        </is>
      </c>
    </row>
    <row r="11">
      <c r="A11" s="145" t="n"/>
      <c r="I11" s="154" t="inlineStr">
        <is>
          <t>C（因公外出）</t>
        </is>
      </c>
      <c r="J11" s="155">
        <f>IFERROR(IF(INDEX(原始数据!$V:$V,MATCH($A11&amp;J$5,原始数据!$X:$X,0))="","--:--",TEXT(INDEX(原始数据!$V:$V,MATCH($A11&amp;J$5,原始数据!$X:$X,0)),"hh:mm")),"--:--")</f>
        <v/>
      </c>
      <c r="K11" s="155">
        <f>IFERROR(IF(INDEX(原始数据!$V:$V,MATCH($A11&amp;K$5,原始数据!$X:$X,0))="","--:--",TEXT(INDEX(原始数据!$V:$V,MATCH($A11&amp;K$5,原始数据!$X:$X,0)),"hh:mm")),"--:--")</f>
        <v/>
      </c>
      <c r="L11" s="155">
        <f>IFERROR(IF(INDEX(原始数据!$V:$V,MATCH($A11&amp;L$5,原始数据!$X:$X,0))="","--:--",TEXT(INDEX(原始数据!$V:$V,MATCH($A11&amp;L$5,原始数据!$X:$X,0)),"hh:mm")),"--:--")</f>
        <v/>
      </c>
      <c r="M11" s="70" t="n"/>
      <c r="N11" s="155">
        <f>IFERROR(IF(INDEX(原始数据!$V:$V,MATCH($A11&amp;N$5,原始数据!$X:$X,0))="","--:--",TEXT(INDEX(原始数据!$V:$V,MATCH($A11&amp;N$5,原始数据!$X:$X,0)),"hh:mm")),"--:--")</f>
        <v/>
      </c>
      <c r="O11" s="155">
        <f>IFERROR(IF(INDEX(原始数据!$V:$V,MATCH($A11&amp;O$5,原始数据!$X:$X,0))="","--:--",TEXT(INDEX(原始数据!$V:$V,MATCH($A11&amp;O$5,原始数据!$X:$X,0)),"hh:mm")),"--:--")</f>
        <v/>
      </c>
      <c r="P11" s="155">
        <f>IFERROR(IF(INDEX(原始数据!$V:$V,MATCH($A11&amp;P$5,原始数据!$X:$X,0))="","--:--",TEXT(INDEX(原始数据!$V:$V,MATCH($A11&amp;P$5,原始数据!$X:$X,0)),"hh:mm")),"--:--")</f>
        <v/>
      </c>
      <c r="Q11" s="155">
        <f>IFERROR(IF(INDEX(原始数据!$V:$V,MATCH($A11&amp;Q$5,原始数据!$X:$X,0))="","--:--",TEXT(INDEX(原始数据!$V:$V,MATCH($A11&amp;Q$5,原始数据!$X:$X,0)),"hh:mm")),"--:--")</f>
        <v/>
      </c>
      <c r="R11" s="155">
        <f>IFERROR(IF(INDEX(原始数据!$V:$V,MATCH($A11&amp;R$5,原始数据!$X:$X,0))="","--:--",TEXT(INDEX(原始数据!$V:$V,MATCH($A11&amp;R$5,原始数据!$X:$X,0)),"hh:mm")),"--:--")</f>
        <v/>
      </c>
      <c r="S11" s="70" t="n"/>
      <c r="T11" s="155">
        <f>IFERROR(IF(INDEX(原始数据!$V:$V,MATCH($A11&amp;T$5,原始数据!$X:$X,0))="","--:--",TEXT(INDEX(原始数据!$V:$V,MATCH($A11&amp;T$5,原始数据!$X:$X,0)),"hh:mm")),"--:--")</f>
        <v/>
      </c>
      <c r="U11" s="155">
        <f>IFERROR(IF(INDEX(原始数据!$V:$V,MATCH($A11&amp;U$5,原始数据!$X:$X,0))="","--:--",TEXT(INDEX(原始数据!$V:$V,MATCH($A11&amp;U$5,原始数据!$X:$X,0)),"hh:mm")),"--:--")</f>
        <v/>
      </c>
      <c r="V11" s="155">
        <f>IFERROR(IF(INDEX(原始数据!$V:$V,MATCH($A11&amp;V$5,原始数据!$X:$X,0))="","--:--",TEXT(INDEX(原始数据!$V:$V,MATCH($A11&amp;V$5,原始数据!$X:$X,0)),"hh:mm")),"--:--")</f>
        <v/>
      </c>
      <c r="W11" s="155">
        <f>IFERROR(IF(INDEX(原始数据!$V:$V,MATCH($A11&amp;W$5,原始数据!$X:$X,0))="","--:--",TEXT(INDEX(原始数据!$V:$V,MATCH($A11&amp;W$5,原始数据!$X:$X,0)),"hh:mm")),"--:--")</f>
        <v/>
      </c>
      <c r="X11" s="155">
        <f>IFERROR(IF(INDEX(原始数据!$V:$V,MATCH($A11&amp;X$5,原始数据!$X:$X,0))="","--:--",TEXT(INDEX(原始数据!$V:$V,MATCH($A11&amp;X$5,原始数据!$X:$X,0)),"hh:mm")),"--:--")</f>
        <v/>
      </c>
      <c r="Y11" s="70" t="n"/>
      <c r="Z11" s="155">
        <f>IFERROR(IF(INDEX(原始数据!$V:$V,MATCH($A11&amp;Z$5,原始数据!$X:$X,0))="","--:--",TEXT(INDEX(原始数据!$V:$V,MATCH($A11&amp;Z$5,原始数据!$X:$X,0)),"hh:mm")),"--:--")</f>
        <v/>
      </c>
      <c r="AA11" s="155">
        <f>IFERROR(IF(INDEX(原始数据!$V:$V,MATCH($A11&amp;AA$5,原始数据!$X:$X,0))="","--:--",TEXT(INDEX(原始数据!$V:$V,MATCH($A11&amp;AA$5,原始数据!$X:$X,0)),"hh:mm")),"--:--")</f>
        <v/>
      </c>
      <c r="AB11" s="155">
        <f>IFERROR(IF(INDEX(原始数据!$V:$V,MATCH($A11&amp;AB$5,原始数据!$X:$X,0))="","--:--",TEXT(INDEX(原始数据!$V:$V,MATCH($A11&amp;AB$5,原始数据!$X:$X,0)),"hh:mm")),"--:--")</f>
        <v/>
      </c>
      <c r="AC11" s="155">
        <f>IFERROR(IF(INDEX(原始数据!$V:$V,MATCH($A11&amp;AC$5,原始数据!$X:$X,0))="","--:--",TEXT(INDEX(原始数据!$V:$V,MATCH($A11&amp;AC$5,原始数据!$X:$X,0)),"hh:mm")),"--:--")</f>
        <v/>
      </c>
      <c r="AD11" s="156">
        <f>IFERROR(IF(INDEX(原始数据!$V:$V,MATCH($A11&amp;AD$5,原始数据!$X:$X,0))="","--:--",TEXT(INDEX(原始数据!$V:$V,MATCH($A11&amp;AD$5,原始数据!$X:$X,0)),"hh:mm")),"--:--")</f>
        <v/>
      </c>
      <c r="AE11" s="70" t="n"/>
      <c r="AF11" s="155">
        <f>IFERROR(IF(INDEX(原始数据!$V:$V,MATCH($A11&amp;AF$5,原始数据!$X:$X,0))="","--:--",TEXT(INDEX(原始数据!$V:$V,MATCH($A11&amp;AF$5,原始数据!$X:$X,0)),"hh:mm")),"--:--")</f>
        <v/>
      </c>
      <c r="AG11" s="155">
        <f>IFERROR(IF(INDEX(原始数据!$V:$V,MATCH($A11&amp;AG$5,原始数据!$X:$X,0))="","--:--",TEXT(INDEX(原始数据!$V:$V,MATCH($A11&amp;AG$5,原始数据!$X:$X,0)),"hh:mm")),"--:--")</f>
        <v/>
      </c>
      <c r="AH11" s="155" t="n"/>
      <c r="AI11" s="155" t="n"/>
      <c r="AJ11" s="156">
        <f>IFERROR(IF(INDEX(原始数据!$V:$V,MATCH($A11&amp;AJ$5,原始数据!$X:$X,0))="","--:--",TEXT(INDEX(原始数据!$V:$V,MATCH($A11&amp;AJ$5,原始数据!$X:$X,0)),"hh:mm")),"--:--")</f>
        <v/>
      </c>
    </row>
    <row r="12" ht="15" customHeight="1" s="129" thickBot="1">
      <c r="A12" s="157" t="n"/>
      <c r="B12" s="136" t="n"/>
      <c r="C12" s="136" t="n"/>
      <c r="D12" s="136" t="n"/>
      <c r="E12" s="136" t="n"/>
      <c r="F12" s="136" t="n"/>
      <c r="G12" s="136" t="n"/>
      <c r="H12" s="136" t="n"/>
      <c r="I12" s="158" t="n"/>
      <c r="J12" s="159">
        <f>IFERROR(IF(INDEX(原始数据!$V:$V,MATCH($A12&amp;J$5,原始数据!$X:$X,0))="","--:--",TEXT(INDEX(原始数据!$W:$W,MATCH($A11&amp;J$5,原始数据!$X:$X,0)),"hh:mm")),"--:--")</f>
        <v/>
      </c>
      <c r="K12" s="159">
        <f>IFERROR(IF(INDEX(原始数据!$V:$V,MATCH($A12&amp;K$5,原始数据!$X:$X,0))="","--:--",TEXT(INDEX(原始数据!$W:$W,MATCH($A11&amp;K$5,原始数据!$X:$X,0)),"hh:mm")),"--:--")</f>
        <v/>
      </c>
      <c r="L12" s="159">
        <f>IFERROR(IF(INDEX(原始数据!$V:$V,MATCH($A12&amp;L$5,原始数据!$X:$X,0))="","--:--",TEXT(INDEX(原始数据!$W:$W,MATCH($A11&amp;L$5,原始数据!$X:$X,0)),"hh:mm")),"--:--")</f>
        <v/>
      </c>
      <c r="M12" s="70" t="n"/>
      <c r="N12" s="159">
        <f>IFERROR(IF(INDEX(原始数据!$V:$V,MATCH($A12&amp;N$5,原始数据!$X:$X,0))="","--:--",TEXT(INDEX(原始数据!$W:$W,MATCH($A11&amp;N$5,原始数据!$X:$X,0)),"hh:mm")),"--:--")</f>
        <v/>
      </c>
      <c r="O12" s="159">
        <f>IFERROR(IF(INDEX(原始数据!$V:$V,MATCH($A12&amp;O$5,原始数据!$X:$X,0))="","--:--",TEXT(INDEX(原始数据!$W:$W,MATCH($A11&amp;O$5,原始数据!$X:$X,0)),"hh:mm")),"--:--")</f>
        <v/>
      </c>
      <c r="P12" s="159">
        <f>IFERROR(IF(INDEX(原始数据!$V:$V,MATCH($A12&amp;P$5,原始数据!$X:$X,0))="","--:--",TEXT(INDEX(原始数据!$W:$W,MATCH($A11&amp;P$5,原始数据!$X:$X,0)),"hh:mm")),"--:--")</f>
        <v/>
      </c>
      <c r="Q12" s="159">
        <f>IFERROR(IF(INDEX(原始数据!$V:$V,MATCH($A12&amp;Q$5,原始数据!$X:$X,0))="","--:--",TEXT(INDEX(原始数据!$W:$W,MATCH($A11&amp;Q$5,原始数据!$X:$X,0)),"hh:mm")),"--:--")</f>
        <v/>
      </c>
      <c r="R12" s="159">
        <f>IFERROR(IF(INDEX(原始数据!$V:$V,MATCH($A12&amp;R$5,原始数据!$X:$X,0))="","--:--",TEXT(INDEX(原始数据!$W:$W,MATCH($A11&amp;R$5,原始数据!$X:$X,0)),"hh:mm")),"--:--")</f>
        <v/>
      </c>
      <c r="S12" s="70" t="n"/>
      <c r="T12" s="159">
        <f>IFERROR(IF(INDEX(原始数据!$V:$V,MATCH($A12&amp;T$5,原始数据!$X:$X,0))="","--:--",TEXT(INDEX(原始数据!$W:$W,MATCH($A11&amp;T$5,原始数据!$X:$X,0)),"hh:mm")),"--:--")</f>
        <v/>
      </c>
      <c r="U12" s="159">
        <f>IFERROR(IF(INDEX(原始数据!$V:$V,MATCH($A12&amp;U$5,原始数据!$X:$X,0))="","--:--",TEXT(INDEX(原始数据!$W:$W,MATCH($A11&amp;U$5,原始数据!$X:$X,0)),"hh:mm")),"--:--")</f>
        <v/>
      </c>
      <c r="V12" s="159">
        <f>IFERROR(IF(INDEX(原始数据!$V:$V,MATCH($A12&amp;V$5,原始数据!$X:$X,0))="","--:--",TEXT(INDEX(原始数据!$W:$W,MATCH($A11&amp;V$5,原始数据!$X:$X,0)),"hh:mm")),"--:--")</f>
        <v/>
      </c>
      <c r="W12" s="159">
        <f>IFERROR(IF(INDEX(原始数据!$V:$V,MATCH($A12&amp;W$5,原始数据!$X:$X,0))="","--:--",TEXT(INDEX(原始数据!$W:$W,MATCH($A11&amp;W$5,原始数据!$X:$X,0)),"hh:mm")),"--:--")</f>
        <v/>
      </c>
      <c r="X12" s="159">
        <f>IFERROR(IF(INDEX(原始数据!$V:$V,MATCH($A12&amp;X$5,原始数据!$X:$X,0))="","--:--",TEXT(INDEX(原始数据!$W:$W,MATCH($A11&amp;X$5,原始数据!$X:$X,0)),"hh:mm")),"--:--")</f>
        <v/>
      </c>
      <c r="Y12" s="70" t="n"/>
      <c r="Z12" s="159">
        <f>IFERROR(IF(INDEX(原始数据!$V:$V,MATCH($A12&amp;Z$5,原始数据!$X:$X,0))="","--:--",TEXT(INDEX(原始数据!$W:$W,MATCH($A11&amp;Z$5,原始数据!$X:$X,0)),"hh:mm")),"--:--")</f>
        <v/>
      </c>
      <c r="AA12" s="159">
        <f>IFERROR(IF(INDEX(原始数据!$V:$V,MATCH($A12&amp;AA$5,原始数据!$X:$X,0))="","--:--",TEXT(INDEX(原始数据!$W:$W,MATCH($A11&amp;AA$5,原始数据!$X:$X,0)),"hh:mm")),"--:--")</f>
        <v/>
      </c>
      <c r="AB12" s="159">
        <f>IFERROR(IF(INDEX(原始数据!$V:$V,MATCH($A12&amp;AB$5,原始数据!$X:$X,0))="","--:--",TEXT(INDEX(原始数据!$W:$W,MATCH($A11&amp;AB$5,原始数据!$X:$X,0)),"hh:mm")),"--:--")</f>
        <v/>
      </c>
      <c r="AC12" s="159">
        <f>IFERROR(IF(INDEX(原始数据!$V:$V,MATCH($A12&amp;AC$5,原始数据!$X:$X,0))="","--:--",TEXT(INDEX(原始数据!$W:$W,MATCH($A11&amp;AC$5,原始数据!$X:$X,0)),"hh:mm")),"--:--")</f>
        <v/>
      </c>
      <c r="AD12" s="160">
        <f>IFERROR(IF(INDEX(原始数据!$V:$V,MATCH($A12&amp;AD$5,原始数据!$X:$X,0))="","--:--",TEXT(INDEX(原始数据!$W:$W,MATCH($A11&amp;AD$5,原始数据!$X:$X,0)),"hh:mm")),"--:--")</f>
        <v/>
      </c>
      <c r="AE12" s="70" t="n"/>
      <c r="AF12" s="159">
        <f>IFERROR(IF(INDEX(原始数据!$V:$V,MATCH($A12&amp;AF$5,原始数据!$X:$X,0))="","--:--",TEXT(INDEX(原始数据!$W:$W,MATCH($A11&amp;AF$5,原始数据!$X:$X,0)),"hh:mm")),"--:--")</f>
        <v/>
      </c>
      <c r="AG12" s="159">
        <f>IFERROR(IF(INDEX(原始数据!$V:$V,MATCH($A12&amp;AG$5,原始数据!$X:$X,0))="","--:--",TEXT(INDEX(原始数据!$W:$W,MATCH($A11&amp;AG$5,原始数据!$X:$X,0)),"hh:mm")),"--:--")</f>
        <v/>
      </c>
      <c r="AH12" s="159" t="n"/>
      <c r="AI12" s="159" t="n"/>
      <c r="AJ12" s="160">
        <f>IFERROR(IF(INDEX(原始数据!$V:$V,MATCH($A12&amp;AJ$5,原始数据!$X:$X,0))="","--:--",TEXT(INDEX(原始数据!$W:$W,MATCH($A11&amp;AJ$5,原始数据!$X:$X,0)),"hh:mm")),"--:--")</f>
        <v/>
      </c>
    </row>
    <row r="13"/>
    <row r="14"/>
    <row r="15"/>
    <row r="16"/>
    <row r="17"/>
    <row r="18" ht="15" customHeight="1" s="129" thickBot="1"/>
    <row r="19"/>
    <row r="20"/>
    <row r="21"/>
    <row r="22"/>
    <row r="23"/>
    <row r="24" ht="15" customHeight="1" s="129" thickBot="1"/>
    <row r="25"/>
    <row r="26"/>
    <row r="27"/>
    <row r="28"/>
    <row r="29"/>
    <row r="30" ht="15" customHeight="1" s="129" thickBot="1"/>
    <row r="31"/>
    <row r="32"/>
    <row r="33"/>
    <row r="34"/>
    <row r="35"/>
    <row r="36" ht="15" customHeight="1" s="129" thickBot="1"/>
    <row r="37"/>
    <row r="38"/>
    <row r="39"/>
    <row r="40"/>
    <row r="41"/>
    <row r="42" ht="15" customHeight="1" s="129" thickBot="1"/>
    <row r="43"/>
    <row r="44"/>
    <row r="45"/>
    <row r="46"/>
    <row r="47"/>
    <row r="48" ht="15" customHeight="1" s="129" thickBot="1"/>
    <row r="49"/>
    <row r="50"/>
    <row r="51"/>
    <row r="52"/>
    <row r="53"/>
    <row r="54" ht="15" customHeight="1" s="129" thickBot="1"/>
    <row r="55" ht="16" customHeight="1" s="129" thickBot="1"/>
    <row r="56"/>
    <row r="57"/>
    <row r="58"/>
    <row r="59"/>
    <row r="60"/>
    <row r="61" ht="15" customHeight="1" s="129" thickBot="1"/>
    <row r="62"/>
    <row r="63"/>
    <row r="64"/>
    <row r="65"/>
    <row r="66"/>
    <row r="67" ht="15" customHeight="1" s="129" thickBot="1"/>
    <row r="68"/>
    <row r="69"/>
    <row r="70"/>
    <row r="71"/>
    <row r="72"/>
    <row r="73" ht="15" customHeight="1" s="129" thickBot="1"/>
    <row r="74"/>
    <row r="75"/>
    <row r="76"/>
    <row r="77"/>
    <row r="78"/>
    <row r="79" ht="15" customHeight="1" s="129" thickBot="1"/>
    <row r="80"/>
    <row r="81"/>
    <row r="82"/>
    <row r="83"/>
    <row r="84"/>
    <row r="85" ht="15" customHeight="1" s="129" thickBot="1"/>
    <row r="86"/>
    <row r="87"/>
    <row r="88"/>
    <row r="89"/>
    <row r="90"/>
    <row r="91" ht="15" customHeight="1" s="129" thickBot="1"/>
    <row r="92"/>
    <row r="93"/>
    <row r="94"/>
    <row r="95"/>
    <row r="96"/>
    <row r="97" ht="15" customHeight="1" s="129" thickBot="1"/>
    <row r="98"/>
    <row r="99"/>
    <row r="100"/>
    <row r="101"/>
    <row r="102"/>
    <row r="103" ht="15" customHeight="1" s="129" thickBot="1"/>
    <row r="104"/>
    <row r="105"/>
    <row r="106"/>
    <row r="107"/>
    <row r="108"/>
    <row r="109" ht="15" customHeight="1" s="129" thickBot="1"/>
    <row r="110"/>
    <row r="111"/>
    <row r="112"/>
    <row r="113"/>
    <row r="114"/>
    <row r="115" ht="15" customHeight="1" s="129" thickBot="1"/>
    <row r="116"/>
    <row r="117"/>
    <row r="118"/>
    <row r="119"/>
    <row r="120"/>
    <row r="121" ht="15" customHeight="1" s="129" thickBot="1"/>
    <row r="122"/>
    <row r="123"/>
    <row r="124"/>
    <row r="125"/>
    <row r="126"/>
    <row r="127" ht="15" customHeight="1" s="129" thickBot="1"/>
    <row r="128"/>
    <row r="129"/>
    <row r="130"/>
    <row r="131"/>
    <row r="132"/>
    <row r="133" ht="15" customHeight="1" s="129" thickBot="1"/>
    <row r="134"/>
    <row r="135"/>
    <row r="136"/>
    <row r="137"/>
    <row r="138"/>
    <row r="139" ht="15" customHeight="1" s="129" thickBot="1"/>
    <row r="140"/>
    <row r="141"/>
    <row r="142"/>
    <row r="143"/>
    <row r="144"/>
    <row r="145" ht="15" customHeight="1" s="129" thickBot="1"/>
    <row r="146"/>
    <row r="147"/>
    <row r="148"/>
    <row r="149"/>
    <row r="150"/>
    <row r="151" ht="15" customHeight="1" s="129" thickBot="1"/>
    <row r="152"/>
    <row r="153"/>
    <row r="154"/>
    <row r="155"/>
    <row r="156"/>
    <row r="157" ht="15" customHeight="1" s="129" thickBot="1"/>
    <row r="158"/>
    <row r="159"/>
    <row r="160"/>
    <row r="161"/>
    <row r="162"/>
    <row r="163" ht="15" customHeight="1" s="129" thickBot="1"/>
    <row r="164"/>
    <row r="165"/>
    <row r="166"/>
    <row r="167"/>
    <row r="168"/>
    <row r="169" ht="15" customHeight="1" s="129" thickBot="1"/>
    <row r="170"/>
    <row r="171"/>
    <row r="172"/>
    <row r="173"/>
    <row r="174"/>
    <row r="175" ht="15" customHeight="1" s="129" thickBot="1"/>
    <row r="176"/>
    <row r="177"/>
    <row r="178"/>
    <row r="179"/>
    <row r="180"/>
    <row r="181" ht="15" customHeight="1" s="129" thickBot="1"/>
    <row r="182"/>
    <row r="183"/>
    <row r="184"/>
    <row r="185"/>
    <row r="186"/>
    <row r="187" ht="15" customHeight="1" s="129" thickBot="1"/>
    <row r="188"/>
    <row r="189"/>
    <row r="190"/>
    <row r="191"/>
    <row r="192"/>
    <row r="193" ht="15" customHeight="1" s="129" thickBot="1"/>
    <row r="194"/>
    <row r="195"/>
    <row r="196"/>
    <row r="197"/>
    <row r="198"/>
    <row r="199" ht="15" customHeight="1" s="129" thickBot="1"/>
    <row r="200"/>
    <row r="201"/>
    <row r="202"/>
    <row r="203"/>
    <row r="204"/>
    <row r="205" ht="15" customHeight="1" s="129" thickBot="1"/>
    <row r="206"/>
    <row r="207"/>
    <row r="208"/>
    <row r="209"/>
    <row r="210"/>
    <row r="211" ht="15" customHeight="1" s="129" thickBot="1"/>
    <row r="212"/>
    <row r="213"/>
    <row r="214"/>
    <row r="215"/>
    <row r="216"/>
    <row r="217" ht="15" customHeight="1" s="129" thickBot="1"/>
    <row r="218"/>
    <row r="219"/>
    <row r="220"/>
    <row r="221"/>
    <row r="222"/>
    <row r="223" ht="15" customHeight="1" s="129" thickBot="1"/>
    <row r="224"/>
    <row r="225"/>
    <row r="226"/>
    <row r="227"/>
    <row r="228"/>
    <row r="229" ht="15" customHeight="1" s="129" thickBot="1"/>
    <row r="230"/>
    <row r="231"/>
    <row r="232"/>
    <row r="233"/>
    <row r="234"/>
    <row r="235" ht="15" customHeight="1" s="129" thickBot="1"/>
    <row r="236"/>
    <row r="237"/>
    <row r="238"/>
    <row r="239"/>
    <row r="240"/>
    <row r="241" ht="15" customHeight="1" s="129" thickBot="1"/>
    <row r="242"/>
    <row r="243"/>
    <row r="244"/>
    <row r="245"/>
    <row r="246"/>
    <row r="247" ht="15" customHeight="1" s="129" thickBot="1"/>
    <row r="248"/>
    <row r="249"/>
    <row r="250"/>
    <row r="251"/>
    <row r="252"/>
    <row r="253" ht="15" customHeight="1" s="129" thickBot="1"/>
    <row r="254"/>
    <row r="255"/>
    <row r="256"/>
    <row r="257"/>
    <row r="258"/>
    <row r="259" ht="15" customHeight="1" s="129" thickBot="1"/>
    <row r="260"/>
    <row r="261"/>
    <row r="262"/>
    <row r="263"/>
    <row r="264"/>
    <row r="265" ht="15" customHeight="1" s="129" thickBot="1"/>
    <row r="266"/>
    <row r="267"/>
    <row r="268"/>
    <row r="269"/>
    <row r="270"/>
    <row r="271" ht="15" customHeight="1" s="129" thickBot="1"/>
    <row r="272"/>
    <row r="273"/>
    <row r="274"/>
    <row r="275"/>
    <row r="276"/>
    <row r="277" ht="15" customHeight="1" s="129" thickBot="1"/>
    <row r="278"/>
    <row r="279"/>
    <row r="280"/>
    <row r="281"/>
    <row r="282"/>
    <row r="283" ht="15" customHeight="1" s="129" thickBot="1"/>
    <row r="284"/>
    <row r="285"/>
    <row r="286"/>
    <row r="287"/>
    <row r="288"/>
    <row r="289" ht="15" customHeight="1" s="129" thickBot="1"/>
    <row r="290"/>
    <row r="291"/>
    <row r="292"/>
    <row r="293"/>
    <row r="294"/>
    <row r="295" ht="15" customHeight="1" s="129" thickBot="1"/>
    <row r="296"/>
    <row r="297"/>
    <row r="298"/>
    <row r="299"/>
    <row r="300"/>
    <row r="301" ht="15" customHeight="1" s="129" thickBot="1"/>
    <row r="302"/>
    <row r="303"/>
    <row r="304"/>
    <row r="305"/>
    <row r="306"/>
    <row r="307" ht="15" customHeight="1" s="129" thickBot="1"/>
    <row r="308"/>
    <row r="309"/>
    <row r="310"/>
    <row r="311"/>
    <row r="312"/>
    <row r="313" ht="15" customHeight="1" s="129" thickBot="1"/>
    <row r="314"/>
    <row r="315"/>
    <row r="316"/>
    <row r="317"/>
    <row r="318"/>
    <row r="319" ht="15" customHeight="1" s="129" thickBot="1"/>
    <row r="320"/>
    <row r="321"/>
    <row r="322"/>
    <row r="323"/>
    <row r="324"/>
    <row r="325" ht="15" customHeight="1" s="129" thickBot="1"/>
    <row r="326"/>
    <row r="327"/>
    <row r="328"/>
    <row r="329"/>
    <row r="330"/>
    <row r="331" ht="15" customHeight="1" s="129" thickBot="1"/>
    <row r="332"/>
    <row r="333"/>
    <row r="334"/>
    <row r="335"/>
    <row r="336"/>
    <row r="337" ht="15" customHeight="1" s="129" thickBot="1"/>
    <row r="338"/>
    <row r="339"/>
    <row r="340"/>
    <row r="341"/>
    <row r="342"/>
    <row r="343" ht="15" customHeight="1" s="129" thickBot="1"/>
    <row r="344"/>
    <row r="345"/>
    <row r="346"/>
    <row r="347"/>
    <row r="348"/>
    <row r="349" ht="15" customHeight="1" s="129" thickBot="1"/>
    <row r="350"/>
    <row r="351"/>
    <row r="352"/>
    <row r="353"/>
    <row r="354"/>
    <row r="355" ht="15" customHeight="1" s="129" thickBot="1"/>
    <row r="356"/>
    <row r="357"/>
    <row r="358"/>
    <row r="359"/>
    <row r="360"/>
    <row r="361" ht="15" customHeight="1" s="129" thickBot="1"/>
    <row r="362"/>
    <row r="363"/>
    <row r="364"/>
    <row r="365"/>
    <row r="366"/>
    <row r="367" ht="15" customHeight="1" s="129" thickBot="1"/>
    <row r="368"/>
    <row r="369"/>
    <row r="370"/>
    <row r="371"/>
    <row r="372"/>
    <row r="373" ht="15" customHeight="1" s="129" thickBot="1"/>
    <row r="374"/>
    <row r="375"/>
    <row r="376"/>
    <row r="377"/>
    <row r="378"/>
    <row r="379" ht="15" customHeight="1" s="129" thickBot="1"/>
    <row r="380"/>
    <row r="381"/>
    <row r="382"/>
    <row r="383"/>
    <row r="384"/>
    <row r="385" ht="15" customHeight="1" s="129" thickBot="1"/>
    <row r="386"/>
    <row r="387"/>
    <row r="388"/>
    <row r="389"/>
    <row r="390"/>
    <row r="391" ht="15" customHeight="1" s="129" thickBot="1"/>
    <row r="392"/>
    <row r="393"/>
    <row r="394"/>
    <row r="395"/>
    <row r="396"/>
    <row r="397" ht="15" customHeight="1" s="129" thickBot="1"/>
    <row r="398"/>
    <row r="399"/>
    <row r="400"/>
    <row r="401"/>
    <row r="402"/>
    <row r="403" ht="15" customHeight="1" s="129" thickBot="1"/>
    <row r="404"/>
    <row r="405"/>
    <row r="406"/>
    <row r="407"/>
    <row r="408"/>
    <row r="409" ht="15" customHeight="1" s="129" thickBot="1"/>
    <row r="410"/>
    <row r="411"/>
    <row r="412"/>
    <row r="413"/>
    <row r="414"/>
    <row r="415" ht="15" customHeight="1" s="129" thickBot="1"/>
    <row r="416"/>
    <row r="417"/>
    <row r="418"/>
    <row r="419"/>
    <row r="420"/>
    <row r="421" ht="15" customHeight="1" s="129" thickBot="1"/>
    <row r="422"/>
    <row r="423"/>
    <row r="424"/>
    <row r="425"/>
    <row r="426"/>
    <row r="427" ht="15" customHeight="1" s="129" thickBot="1"/>
    <row r="428"/>
    <row r="429"/>
    <row r="430"/>
    <row r="431"/>
    <row r="432"/>
    <row r="433" ht="15" customHeight="1" s="129" thickBot="1"/>
    <row r="434"/>
    <row r="435"/>
    <row r="436"/>
    <row r="437"/>
    <row r="438"/>
    <row r="439" ht="15" customHeight="1" s="129" thickBot="1"/>
    <row r="440"/>
    <row r="441"/>
    <row r="442"/>
    <row r="443"/>
    <row r="444"/>
    <row r="445" ht="15" customHeight="1" s="129" thickBot="1"/>
    <row r="446"/>
    <row r="447"/>
    <row r="448"/>
    <row r="449"/>
    <row r="450"/>
    <row r="451" ht="15" customHeight="1" s="129" thickBot="1"/>
    <row r="452"/>
    <row r="453"/>
    <row r="454"/>
    <row r="455"/>
    <row r="456"/>
    <row r="457" ht="15" customHeight="1" s="129" thickBot="1"/>
    <row r="458"/>
    <row r="459"/>
    <row r="460"/>
    <row r="461"/>
    <row r="462"/>
    <row r="463" ht="15" customHeight="1" s="129" thickBot="1"/>
    <row r="464"/>
    <row r="465"/>
    <row r="466"/>
    <row r="467"/>
    <row r="468"/>
    <row r="469" ht="15" customHeight="1" s="129" thickBot="1"/>
    <row r="470"/>
    <row r="471"/>
    <row r="472"/>
    <row r="473"/>
    <row r="474"/>
    <row r="475" ht="15" customHeight="1" s="129" thickBot="1"/>
    <row r="476"/>
    <row r="477"/>
    <row r="478"/>
    <row r="479"/>
    <row r="480"/>
    <row r="481" ht="15" customHeight="1" s="129" thickBot="1"/>
    <row r="482"/>
    <row r="483"/>
    <row r="484"/>
    <row r="485"/>
    <row r="486"/>
    <row r="487" ht="15" customHeight="1" s="129" thickBot="1"/>
    <row r="488"/>
    <row r="489"/>
    <row r="490"/>
    <row r="491"/>
    <row r="492"/>
    <row r="493" ht="15" customHeight="1" s="129" thickBot="1"/>
    <row r="494"/>
    <row r="495"/>
    <row r="496"/>
    <row r="497"/>
    <row r="498"/>
    <row r="499" ht="15" customHeight="1" s="129" thickBot="1"/>
    <row r="500"/>
    <row r="501"/>
    <row r="502"/>
    <row r="503"/>
    <row r="504"/>
    <row r="505" ht="15" customHeight="1" s="129" thickBot="1"/>
    <row r="506"/>
    <row r="507"/>
    <row r="508"/>
    <row r="509"/>
    <row r="510"/>
    <row r="511" ht="15" customHeight="1" s="129" thickBot="1"/>
    <row r="512"/>
    <row r="513"/>
    <row r="514"/>
    <row r="515"/>
    <row r="516"/>
    <row r="517" ht="15" customHeight="1" s="129" thickBot="1"/>
    <row r="518"/>
    <row r="519"/>
    <row r="520"/>
    <row r="521"/>
    <row r="522"/>
    <row r="523" ht="15" customHeight="1" s="129" thickBot="1"/>
    <row r="524"/>
    <row r="525"/>
    <row r="526"/>
    <row r="527"/>
    <row r="528"/>
    <row r="529" ht="15" customHeight="1" s="129" thickBot="1"/>
    <row r="530"/>
    <row r="531"/>
    <row r="532"/>
    <row r="533"/>
    <row r="534"/>
    <row r="535" ht="15" customHeight="1" s="129" thickBot="1"/>
    <row r="536"/>
    <row r="537"/>
    <row r="538"/>
    <row r="539"/>
    <row r="540"/>
    <row r="541" ht="15" customHeight="1" s="129" thickBot="1"/>
    <row r="542"/>
    <row r="543"/>
    <row r="544"/>
    <row r="545"/>
    <row r="546"/>
    <row r="547" ht="15" customHeight="1" s="129" thickBot="1"/>
    <row r="548"/>
    <row r="549"/>
    <row r="550"/>
    <row r="551"/>
    <row r="552"/>
    <row r="553" ht="15" customHeight="1" s="129" thickBot="1"/>
    <row r="554"/>
    <row r="555"/>
    <row r="556"/>
    <row r="557"/>
    <row r="558"/>
    <row r="559" ht="15" customHeight="1" s="129" thickBot="1"/>
    <row r="560"/>
    <row r="561"/>
    <row r="562"/>
    <row r="563"/>
    <row r="564"/>
    <row r="565" ht="15" customHeight="1" s="129" thickBot="1"/>
    <row r="566"/>
    <row r="567"/>
    <row r="568"/>
    <row r="569"/>
    <row r="570"/>
    <row r="571" ht="15" customHeight="1" s="129" thickBot="1"/>
    <row r="572"/>
    <row r="573"/>
    <row r="574"/>
    <row r="575"/>
    <row r="576"/>
    <row r="577" ht="15" customHeight="1" s="129" thickBot="1"/>
    <row r="578"/>
    <row r="579"/>
    <row r="580"/>
    <row r="581"/>
    <row r="582"/>
    <row r="583" ht="15" customHeight="1" s="129" thickBot="1"/>
    <row r="584"/>
    <row r="585"/>
    <row r="586"/>
    <row r="587"/>
    <row r="588"/>
    <row r="589" ht="15" customHeight="1" s="129" thickBot="1"/>
    <row r="590"/>
    <row r="591"/>
    <row r="592"/>
    <row r="593"/>
    <row r="594"/>
    <row r="595" ht="15" customHeight="1" s="129" thickBot="1"/>
    <row r="596"/>
    <row r="597"/>
    <row r="598"/>
    <row r="599"/>
    <row r="600"/>
    <row r="601" ht="15" customHeight="1" s="129" thickBot="1"/>
    <row r="602"/>
    <row r="603"/>
    <row r="604"/>
    <row r="605"/>
    <row r="606"/>
    <row r="607" ht="15" customHeight="1" s="129" thickBot="1"/>
    <row r="608"/>
    <row r="609"/>
    <row r="610"/>
    <row r="611"/>
    <row r="612"/>
    <row r="613" ht="15" customHeight="1" s="129" thickBot="1"/>
    <row r="614"/>
    <row r="615"/>
    <row r="616"/>
    <row r="617"/>
    <row r="618"/>
    <row r="619" ht="15" customHeight="1" s="129" thickBot="1"/>
    <row r="620"/>
    <row r="621"/>
    <row r="622"/>
    <row r="623"/>
    <row r="624"/>
    <row r="625" ht="15" customHeight="1" s="129" thickBot="1"/>
    <row r="626"/>
    <row r="627"/>
    <row r="628"/>
    <row r="629"/>
    <row r="630"/>
    <row r="631" ht="15" customHeight="1" s="129" thickBot="1"/>
    <row r="632"/>
    <row r="633"/>
    <row r="634"/>
    <row r="635"/>
    <row r="636"/>
    <row r="637" ht="15" customHeight="1" s="129" thickBot="1"/>
    <row r="638"/>
    <row r="639"/>
    <row r="640"/>
    <row r="641"/>
    <row r="642"/>
    <row r="643" ht="15" customHeight="1" s="129" thickBot="1"/>
    <row r="644"/>
    <row r="645"/>
    <row r="646"/>
    <row r="647"/>
    <row r="648"/>
    <row r="649" ht="15" customHeight="1" s="129" thickBot="1"/>
    <row r="650"/>
    <row r="651"/>
    <row r="652"/>
    <row r="653"/>
    <row r="654"/>
    <row r="655" ht="15" customHeight="1" s="129" thickBot="1"/>
    <row r="656"/>
    <row r="657"/>
    <row r="658"/>
    <row r="659"/>
    <row r="660"/>
    <row r="661" ht="15" customHeight="1" s="129" thickBot="1"/>
    <row r="662"/>
    <row r="663"/>
    <row r="664"/>
    <row r="665"/>
    <row r="666"/>
    <row r="667" ht="15" customHeight="1" s="129" thickBot="1"/>
    <row r="668"/>
    <row r="669"/>
    <row r="670"/>
    <row r="671"/>
    <row r="672"/>
    <row r="673" ht="15" customHeight="1" s="129" thickBot="1"/>
    <row r="674"/>
    <row r="675"/>
    <row r="676"/>
    <row r="677"/>
    <row r="678"/>
    <row r="679" ht="15" customHeight="1" s="129" thickBot="1"/>
    <row r="680"/>
    <row r="681"/>
    <row r="682"/>
    <row r="683"/>
    <row r="684"/>
    <row r="685" ht="15" customHeight="1" s="129" thickBot="1"/>
    <row r="686" ht="17" customHeight="1" s="129" thickBot="1"/>
    <row r="687"/>
    <row r="688"/>
    <row r="689"/>
    <row r="690"/>
    <row r="691"/>
    <row r="692" ht="15" customHeight="1" s="129" thickBot="1"/>
    <row r="693"/>
    <row r="694"/>
    <row r="695"/>
    <row r="696"/>
    <row r="697"/>
    <row r="698" ht="15" customHeight="1" s="129" thickBot="1"/>
    <row r="699"/>
    <row r="700"/>
    <row r="701"/>
    <row r="702"/>
    <row r="703"/>
    <row r="704" ht="15" customHeight="1" s="129" thickBot="1"/>
    <row r="705"/>
    <row r="706"/>
    <row r="707"/>
    <row r="708"/>
    <row r="709"/>
    <row r="710" ht="15" customHeight="1" s="129" thickBot="1"/>
    <row r="711"/>
    <row r="712"/>
    <row r="713"/>
    <row r="714"/>
    <row r="715"/>
    <row r="716" ht="15" customHeight="1" s="129" thickBot="1"/>
    <row r="717"/>
    <row r="718"/>
    <row r="719"/>
    <row r="720"/>
    <row r="721"/>
    <row r="722" ht="15" customHeight="1" s="129" thickBot="1"/>
    <row r="723"/>
    <row r="724"/>
    <row r="725"/>
    <row r="726"/>
    <row r="727"/>
    <row r="728" ht="15" customHeight="1" s="129" thickBot="1"/>
    <row r="729"/>
    <row r="730"/>
    <row r="731"/>
    <row r="732"/>
    <row r="733"/>
    <row r="734" ht="15" customHeight="1" s="129" thickBot="1"/>
    <row r="735"/>
    <row r="736"/>
    <row r="737"/>
    <row r="738"/>
    <row r="739"/>
    <row r="740" ht="15" customHeight="1" s="129" thickBot="1"/>
    <row r="741"/>
    <row r="742"/>
    <row r="743"/>
    <row r="744"/>
    <row r="745"/>
    <row r="746" ht="15" customHeight="1" s="129" thickBot="1"/>
    <row r="747"/>
    <row r="748"/>
    <row r="749"/>
    <row r="750"/>
    <row r="751"/>
    <row r="752" ht="15" customHeight="1" s="129" thickBot="1"/>
    <row r="753"/>
    <row r="754"/>
    <row r="755"/>
    <row r="756"/>
    <row r="757"/>
    <row r="758" ht="15" customHeight="1" s="129" thickBot="1"/>
    <row r="759"/>
    <row r="760"/>
    <row r="761"/>
    <row r="762"/>
    <row r="763"/>
    <row r="764" ht="15" customHeight="1" s="129" thickBot="1"/>
    <row r="765"/>
    <row r="766"/>
    <row r="767"/>
    <row r="768"/>
    <row r="769"/>
    <row r="770" ht="15" customHeight="1" s="129" thickBot="1"/>
    <row r="771"/>
    <row r="772"/>
    <row r="773"/>
    <row r="774"/>
    <row r="775"/>
    <row r="776" ht="15" customHeight="1" s="129" thickBot="1"/>
    <row r="777"/>
    <row r="778"/>
    <row r="779"/>
    <row r="780"/>
    <row r="781"/>
    <row r="782" ht="15" customHeight="1" s="129" thickBot="1"/>
    <row r="783"/>
    <row r="784"/>
    <row r="785"/>
    <row r="786"/>
    <row r="787"/>
    <row r="788" ht="15" customHeight="1" s="129" thickBot="1"/>
    <row r="789"/>
    <row r="790"/>
    <row r="791"/>
    <row r="792"/>
    <row r="793"/>
    <row r="794" ht="15" customHeight="1" s="129" thickBot="1"/>
    <row r="795"/>
    <row r="796"/>
    <row r="797"/>
    <row r="798"/>
    <row r="799"/>
    <row r="800" ht="15" customHeight="1" s="129" thickBot="1"/>
    <row r="801"/>
    <row r="802"/>
    <row r="803"/>
    <row r="804"/>
    <row r="805"/>
    <row r="806" ht="15" customHeight="1" s="129" thickBot="1"/>
    <row r="807"/>
    <row r="808"/>
    <row r="809"/>
    <row r="810"/>
    <row r="811"/>
    <row r="812" ht="15" customHeight="1" s="129" thickBot="1"/>
    <row r="813"/>
    <row r="814"/>
    <row r="815"/>
    <row r="816"/>
    <row r="817"/>
    <row r="818" ht="15" customHeight="1" s="129" thickBot="1"/>
    <row r="819"/>
    <row r="820"/>
    <row r="821"/>
    <row r="822"/>
    <row r="823"/>
    <row r="824" ht="15" customHeight="1" s="129" thickBot="1"/>
    <row r="825"/>
    <row r="826"/>
    <row r="827"/>
    <row r="828"/>
    <row r="829"/>
    <row r="830" ht="15" customHeight="1" s="129" thickBot="1"/>
    <row r="831"/>
    <row r="832"/>
    <row r="833"/>
    <row r="834"/>
    <row r="835"/>
    <row r="836" ht="15" customHeight="1" s="129" thickBot="1"/>
    <row r="837"/>
    <row r="838"/>
    <row r="839"/>
    <row r="840"/>
    <row r="841"/>
    <row r="842" ht="15" customHeight="1" s="129" thickBot="1"/>
    <row r="843"/>
    <row r="844"/>
    <row r="845"/>
    <row r="846"/>
    <row r="847"/>
    <row r="848" ht="15" customHeight="1" s="129" thickBot="1"/>
    <row r="849"/>
    <row r="850"/>
    <row r="851"/>
    <row r="852"/>
    <row r="853"/>
    <row r="854" ht="15" customHeight="1" s="129" thickBot="1"/>
    <row r="855"/>
    <row r="856"/>
    <row r="857"/>
    <row r="858"/>
    <row r="859"/>
    <row r="860" ht="15" customHeight="1" s="129" thickBot="1"/>
    <row r="861"/>
    <row r="862"/>
    <row r="863"/>
    <row r="864"/>
    <row r="865"/>
    <row r="866" ht="15" customHeight="1" s="129" thickBot="1"/>
    <row r="867"/>
    <row r="868"/>
    <row r="869"/>
    <row r="870"/>
    <row r="871"/>
    <row r="872" ht="15" customHeight="1" s="129" thickBot="1"/>
    <row r="873"/>
    <row r="874"/>
    <row r="875"/>
    <row r="876"/>
    <row r="877"/>
    <row r="878" ht="15" customHeight="1" s="129" thickBot="1"/>
    <row r="879"/>
    <row r="880"/>
    <row r="881"/>
    <row r="882"/>
    <row r="883"/>
    <row r="884" ht="15" customHeight="1" s="129" thickBot="1"/>
    <row r="885"/>
    <row r="886"/>
    <row r="887"/>
    <row r="888"/>
    <row r="889"/>
    <row r="890" ht="15" customHeight="1" s="129" thickBot="1"/>
    <row r="891"/>
    <row r="892"/>
    <row r="893"/>
    <row r="894"/>
    <row r="895"/>
    <row r="896" ht="15" customHeight="1" s="129" thickBot="1"/>
    <row r="897"/>
    <row r="898"/>
    <row r="899"/>
    <row r="900"/>
    <row r="901"/>
    <row r="902" ht="15" customHeight="1" s="129" thickBot="1"/>
    <row r="903"/>
    <row r="904"/>
    <row r="905"/>
    <row r="906"/>
    <row r="907"/>
    <row r="908" ht="15" customHeight="1" s="129" thickBot="1"/>
    <row r="909"/>
    <row r="910"/>
    <row r="911"/>
    <row r="912"/>
    <row r="913"/>
    <row r="914" ht="15" customHeight="1" s="129" thickBot="1"/>
    <row r="915"/>
    <row r="916"/>
    <row r="917"/>
    <row r="918"/>
    <row r="919"/>
    <row r="920" ht="15" customHeight="1" s="129" thickBot="1"/>
    <row r="921"/>
    <row r="922"/>
    <row r="923"/>
    <row r="924"/>
    <row r="925"/>
    <row r="926" ht="15" customHeight="1" s="129" thickBot="1"/>
    <row r="927"/>
    <row r="928"/>
    <row r="929"/>
    <row r="930"/>
    <row r="931"/>
    <row r="932" ht="15" customHeight="1" s="129" thickBot="1"/>
    <row r="933"/>
    <row r="934"/>
    <row r="935"/>
    <row r="936"/>
    <row r="937"/>
    <row r="938" ht="15" customHeight="1" s="129" thickBot="1"/>
    <row r="939"/>
    <row r="940"/>
    <row r="941"/>
    <row r="942"/>
    <row r="943"/>
    <row r="944" ht="15" customHeight="1" s="129" thickBot="1"/>
    <row r="945"/>
    <row r="946"/>
    <row r="947"/>
    <row r="948"/>
    <row r="949"/>
    <row r="950" ht="15" customHeight="1" s="129" thickBot="1"/>
    <row r="951"/>
    <row r="952"/>
    <row r="953"/>
    <row r="954"/>
    <row r="955"/>
    <row r="956" ht="15" customHeight="1" s="129" thickBot="1"/>
    <row r="957" ht="17" customHeight="1" s="129" thickBot="1"/>
    <row r="958"/>
    <row r="959"/>
    <row r="960"/>
    <row r="961"/>
    <row r="962"/>
    <row r="963" ht="15" customHeight="1" s="129" thickBot="1"/>
    <row r="964" ht="17" customHeight="1" s="129" thickBot="1"/>
    <row r="965"/>
    <row r="966"/>
    <row r="967"/>
    <row r="968"/>
    <row r="969"/>
    <row r="970" ht="15" customHeight="1" s="129" thickBot="1"/>
    <row r="971"/>
    <row r="972"/>
    <row r="973"/>
    <row r="974"/>
    <row r="975"/>
    <row r="976" ht="15" customHeight="1" s="129" thickBot="1"/>
    <row r="977"/>
    <row r="978"/>
    <row r="979"/>
    <row r="980"/>
    <row r="981"/>
    <row r="982" ht="15" customHeight="1" s="129" thickBot="1"/>
    <row r="983"/>
    <row r="984"/>
    <row r="985"/>
    <row r="986"/>
    <row r="987"/>
    <row r="988" ht="15" customHeight="1" s="129" thickBot="1"/>
    <row r="989"/>
    <row r="990"/>
    <row r="991"/>
    <row r="992"/>
    <row r="993"/>
    <row r="994" ht="15" customHeight="1" s="129" thickBot="1"/>
    <row r="995"/>
    <row r="996"/>
    <row r="997"/>
    <row r="998"/>
    <row r="999"/>
    <row r="1000" ht="15" customHeight="1" s="129" thickBot="1"/>
    <row r="1001"/>
    <row r="1002"/>
    <row r="1003"/>
    <row r="1004"/>
    <row r="1005"/>
    <row r="1006" ht="15" customHeight="1" s="129" thickBot="1"/>
    <row r="1007" ht="17" customHeight="1" s="129" thickBot="1"/>
    <row r="1008"/>
    <row r="1009"/>
    <row r="1010"/>
    <row r="1011"/>
    <row r="1012"/>
    <row r="1013" ht="15" customHeight="1" s="129" thickBot="1"/>
    <row r="1014"/>
    <row r="1015"/>
    <row r="1016"/>
    <row r="1017"/>
    <row r="1018"/>
    <row r="1019" ht="15" customHeight="1" s="129" thickBot="1"/>
    <row r="1020"/>
    <row r="1021"/>
    <row r="1022"/>
    <row r="1023"/>
    <row r="1024"/>
    <row r="1025" ht="15" customHeight="1" s="129" thickBot="1"/>
    <row r="1026"/>
    <row r="1027"/>
    <row r="1028"/>
    <row r="1029"/>
    <row r="1030"/>
    <row r="1031" ht="15" customHeight="1" s="129" thickBot="1"/>
    <row r="1032" ht="17" customHeight="1" s="129" thickBot="1"/>
    <row r="1033" ht="17" customHeight="1" s="129"/>
    <row r="1034" ht="17" customHeight="1" s="129"/>
    <row r="1035" ht="17" customHeight="1" s="129"/>
    <row r="1036" ht="17" customHeight="1" s="129"/>
    <row r="1037" ht="17" customHeight="1" s="129"/>
    <row r="1038" ht="17" customHeight="1" s="129" thickBot="1"/>
    <row r="1039"/>
    <row r="1040"/>
    <row r="1041"/>
    <row r="1042"/>
    <row r="1043"/>
    <row r="1044" ht="15" customHeight="1" s="129" thickBot="1"/>
    <row r="1045"/>
    <row r="1046"/>
    <row r="1047"/>
    <row r="1048"/>
    <row r="1049"/>
    <row r="1050" ht="15" customHeight="1" s="129" thickBot="1"/>
    <row r="1051"/>
    <row r="1052"/>
    <row r="1053"/>
    <row r="1054"/>
    <row r="1055"/>
    <row r="1056" ht="15" customHeight="1" s="129" thickBot="1"/>
    <row r="1057"/>
    <row r="1058"/>
    <row r="1059"/>
    <row r="1060"/>
    <row r="1061"/>
    <row r="1062" ht="15" customHeight="1" s="129" thickBot="1"/>
    <row r="1063"/>
    <row r="1064"/>
    <row r="1065"/>
    <row r="1066"/>
    <row r="1067"/>
    <row r="1068" ht="15" customHeight="1" s="129" thickBot="1"/>
    <row r="1069"/>
    <row r="1070"/>
    <row r="1071"/>
    <row r="1072"/>
    <row r="1073"/>
    <row r="1074" ht="15" customHeight="1" s="129" thickBot="1"/>
    <row r="1075"/>
    <row r="1076"/>
    <row r="1077"/>
    <row r="1078"/>
    <row r="1079"/>
    <row r="1080" ht="15" customHeight="1" s="129" thickBot="1"/>
    <row r="1081"/>
    <row r="1082"/>
    <row r="1083"/>
    <row r="1084"/>
    <row r="1085"/>
    <row r="1086" ht="15" customHeight="1" s="129" thickBot="1"/>
    <row r="1087"/>
    <row r="1088"/>
    <row r="1089"/>
    <row r="1090"/>
    <row r="1091"/>
    <row r="1092" ht="15" customHeight="1" s="129" thickBot="1"/>
    <row r="1093"/>
    <row r="1094"/>
    <row r="1095"/>
    <row r="1096"/>
    <row r="1097"/>
    <row r="1098" ht="15" customHeight="1" s="129" thickBot="1"/>
    <row r="1099"/>
    <row r="1100"/>
    <row r="1101"/>
    <row r="1102"/>
    <row r="1103"/>
    <row r="1104" ht="15" customHeight="1" s="129" thickBot="1"/>
    <row r="1105"/>
    <row r="1106"/>
    <row r="1107"/>
    <row r="1108"/>
    <row r="1109"/>
    <row r="1110" ht="15" customHeight="1" s="129" thickBot="1"/>
    <row r="1111"/>
    <row r="1112"/>
    <row r="1113"/>
    <row r="1114"/>
    <row r="1115"/>
    <row r="1116" ht="15" customHeight="1" s="129" thickBot="1"/>
    <row r="1117"/>
    <row r="1118"/>
    <row r="1119"/>
    <row r="1120"/>
    <row r="1121"/>
    <row r="1122" ht="15" customHeight="1" s="129" thickBot="1"/>
    <row r="1123"/>
    <row r="1124"/>
    <row r="1125"/>
    <row r="1126"/>
    <row r="1127"/>
    <row r="1128" ht="15" customHeight="1" s="129" thickBot="1"/>
    <row r="1129"/>
    <row r="1130"/>
    <row r="1131"/>
    <row r="1132"/>
    <row r="1133"/>
    <row r="1134" ht="15" customHeight="1" s="129" thickBot="1"/>
    <row r="1135"/>
    <row r="1136"/>
    <row r="1137"/>
    <row r="1138"/>
    <row r="1139"/>
    <row r="1140" ht="15" customHeight="1" s="129" thickBot="1"/>
    <row r="1141"/>
    <row r="1142"/>
    <row r="1143"/>
    <row r="1144"/>
    <row r="1145"/>
    <row r="1146" ht="15" customHeight="1" s="129" thickBot="1"/>
    <row r="1147"/>
    <row r="1148"/>
    <row r="1149"/>
    <row r="1150"/>
    <row r="1151"/>
    <row r="1152" ht="15" customHeight="1" s="129" thickBot="1"/>
    <row r="1153"/>
    <row r="1154"/>
    <row r="1155"/>
    <row r="1156"/>
    <row r="1157"/>
    <row r="1158" ht="15" customHeight="1" s="129" thickBot="1"/>
    <row r="1159"/>
    <row r="1160"/>
    <row r="1161"/>
    <row r="1162"/>
    <row r="1163"/>
    <row r="1164" ht="15" customHeight="1" s="129" thickBot="1"/>
    <row r="1165"/>
    <row r="1166"/>
    <row r="1167"/>
    <row r="1168"/>
    <row r="1169"/>
    <row r="1170" ht="15" customHeight="1" s="129" thickBot="1"/>
    <row r="1171"/>
    <row r="1172"/>
    <row r="1173"/>
    <row r="1174"/>
    <row r="1175"/>
    <row r="1176" ht="15" customHeight="1" s="129" thickBot="1"/>
    <row r="1177"/>
    <row r="1178"/>
    <row r="1179"/>
    <row r="1180"/>
    <row r="1181"/>
    <row r="1182" ht="15" customHeight="1" s="129" thickBot="1"/>
    <row r="1183"/>
    <row r="1184"/>
    <row r="1185"/>
    <row r="1186"/>
    <row r="1187"/>
    <row r="1188" ht="15" customHeight="1" s="129" thickBot="1"/>
    <row r="1189"/>
    <row r="1190"/>
    <row r="1191"/>
    <row r="1192"/>
    <row r="1193"/>
    <row r="1194" ht="15" customHeight="1" s="129" thickBot="1"/>
    <row r="1195"/>
    <row r="1196"/>
    <row r="1197"/>
    <row r="1198"/>
    <row r="1199"/>
    <row r="1200" ht="15" customHeight="1" s="129" thickBot="1"/>
    <row r="1201"/>
    <row r="1202"/>
    <row r="1203"/>
    <row r="1204"/>
    <row r="1205"/>
    <row r="1206" ht="15" customHeight="1" s="129" thickBot="1"/>
    <row r="1207"/>
    <row r="1208"/>
    <row r="1209"/>
    <row r="1210"/>
    <row r="1211"/>
    <row r="1212" ht="15" customHeight="1" s="129" thickBot="1"/>
    <row r="1213"/>
    <row r="1214"/>
    <row r="1215"/>
    <row r="1216"/>
    <row r="1217"/>
    <row r="1218" ht="15" customHeight="1" s="129" thickBot="1"/>
    <row r="1219"/>
    <row r="1220"/>
    <row r="1221"/>
    <row r="1222"/>
    <row r="1223"/>
    <row r="1224" ht="15" customHeight="1" s="129" thickBot="1"/>
    <row r="1225"/>
    <row r="1226"/>
    <row r="1227"/>
    <row r="1228"/>
    <row r="1229"/>
    <row r="1230" ht="15" customHeight="1" s="129" thickBot="1"/>
    <row r="1231"/>
    <row r="1232"/>
    <row r="1233"/>
    <row r="1234"/>
    <row r="1235"/>
    <row r="1236" ht="15" customHeight="1" s="129" thickBot="1"/>
    <row r="1237"/>
    <row r="1238"/>
    <row r="1239"/>
    <row r="1240"/>
    <row r="1241"/>
    <row r="1242" ht="15" customHeight="1" s="129" thickBot="1"/>
    <row r="1243"/>
    <row r="1244"/>
    <row r="1245"/>
    <row r="1246"/>
    <row r="1247"/>
    <row r="1248" ht="15" customHeight="1" s="129" thickBot="1"/>
    <row r="1249"/>
    <row r="1250"/>
    <row r="1251"/>
    <row r="1252"/>
    <row r="1253"/>
    <row r="1254" ht="15" customHeight="1" s="129" thickBot="1"/>
    <row r="1255"/>
    <row r="1256"/>
    <row r="1257"/>
    <row r="1258"/>
    <row r="1259"/>
    <row r="1260" ht="15" customHeight="1" s="129" thickBot="1"/>
    <row r="1261"/>
    <row r="1262"/>
    <row r="1263"/>
    <row r="1264"/>
    <row r="1265"/>
    <row r="1266" ht="15" customHeight="1" s="129" thickBot="1"/>
    <row r="1267"/>
    <row r="1268"/>
    <row r="1269"/>
    <row r="1270"/>
    <row r="1271"/>
    <row r="1272" ht="15" customHeight="1" s="129" thickBot="1"/>
    <row r="1273"/>
    <row r="1274"/>
    <row r="1275"/>
    <row r="1276"/>
    <row r="1277"/>
    <row r="1278" ht="15" customHeight="1" s="129" thickBot="1"/>
    <row r="1279"/>
    <row r="1280"/>
    <row r="1281"/>
    <row r="1282"/>
    <row r="1283"/>
    <row r="1284" ht="15" customHeight="1" s="129" thickBot="1"/>
    <row r="1285"/>
    <row r="1286"/>
    <row r="1287"/>
    <row r="1288"/>
    <row r="1289"/>
    <row r="1290" ht="15" customHeight="1" s="129" thickBot="1"/>
    <row r="1291"/>
    <row r="1292"/>
    <row r="1293"/>
    <row r="1294"/>
    <row r="1295"/>
    <row r="1296" ht="15" customHeight="1" s="129" thickBot="1"/>
    <row r="1297"/>
    <row r="1298"/>
    <row r="1299"/>
    <row r="1300"/>
    <row r="1301"/>
    <row r="1302" ht="15" customHeight="1" s="129" thickBot="1"/>
    <row r="1303"/>
    <row r="1304"/>
    <row r="1305"/>
    <row r="1306"/>
    <row r="1307"/>
    <row r="1308" ht="15" customHeight="1" s="129" thickBot="1"/>
    <row r="1309"/>
    <row r="1310"/>
    <row r="1311"/>
    <row r="1312"/>
    <row r="1313"/>
    <row r="1314" ht="15" customHeight="1" s="129" thickBot="1"/>
    <row r="1315"/>
    <row r="1316"/>
    <row r="1317"/>
    <row r="1318"/>
    <row r="1319"/>
    <row r="1320" ht="15" customHeight="1" s="129" thickBot="1"/>
    <row r="1321"/>
    <row r="1322"/>
    <row r="1323"/>
    <row r="1324"/>
    <row r="1325"/>
    <row r="1326" ht="15" customHeight="1" s="129" thickBot="1"/>
    <row r="1327"/>
    <row r="1328"/>
    <row r="1329"/>
    <row r="1330"/>
    <row r="1331"/>
    <row r="1332" ht="15" customHeight="1" s="129" thickBot="1"/>
    <row r="1333"/>
    <row r="1334"/>
    <row r="1335"/>
    <row r="1336"/>
    <row r="1337"/>
    <row r="1338" ht="15" customHeight="1" s="129" thickBot="1"/>
    <row r="1339"/>
    <row r="1340"/>
    <row r="1341"/>
    <row r="1342"/>
    <row r="1343"/>
    <row r="1344" ht="15" customHeight="1" s="129" thickBot="1"/>
    <row r="1345"/>
    <row r="1346"/>
    <row r="1347"/>
    <row r="1348"/>
    <row r="1349"/>
    <row r="1350" ht="15" customHeight="1" s="129" thickBot="1"/>
    <row r="1351"/>
    <row r="1352"/>
    <row r="1353"/>
    <row r="1354"/>
    <row r="1355"/>
    <row r="1356" ht="15" customHeight="1" s="129" thickBot="1"/>
    <row r="1357"/>
    <row r="1358"/>
    <row r="1359"/>
    <row r="1360"/>
    <row r="1361"/>
    <row r="1362" ht="15" customHeight="1" s="129" thickBot="1"/>
    <row r="1363"/>
    <row r="1364"/>
    <row r="1365"/>
    <row r="1366"/>
    <row r="1367"/>
    <row r="1368" ht="15" customHeight="1" s="129" thickBot="1"/>
    <row r="1369"/>
    <row r="1370"/>
    <row r="1371"/>
    <row r="1372"/>
    <row r="1373"/>
    <row r="1374" ht="15" customHeight="1" s="129" thickBot="1"/>
    <row r="1375"/>
    <row r="1376"/>
    <row r="1377"/>
    <row r="1378"/>
    <row r="1379"/>
    <row r="1380" ht="15" customHeight="1" s="129" thickBot="1"/>
    <row r="1381"/>
    <row r="1382"/>
    <row r="1383"/>
    <row r="1384"/>
    <row r="1385"/>
    <row r="1386" ht="15" customHeight="1" s="129" thickBot="1"/>
    <row r="1387"/>
    <row r="1388"/>
    <row r="1389"/>
    <row r="1390"/>
    <row r="1391"/>
    <row r="1392" ht="15" customHeight="1" s="129" thickBot="1"/>
    <row r="1393"/>
    <row r="1394"/>
    <row r="1395"/>
    <row r="1396"/>
    <row r="1397"/>
    <row r="1398" ht="15" customHeight="1" s="129" thickBot="1"/>
    <row r="1399"/>
    <row r="1400"/>
    <row r="1401"/>
    <row r="1402"/>
    <row r="1403"/>
    <row r="1404" ht="15" customHeight="1" s="129" thickBot="1"/>
    <row r="1405"/>
    <row r="1406"/>
    <row r="1407"/>
    <row r="1408"/>
    <row r="1409"/>
    <row r="1410" ht="15" customHeight="1" s="129" thickBot="1"/>
  </sheetData>
  <mergeCells count="2574">
    <mergeCell ref="F656:F661"/>
    <mergeCell ref="I330:I331"/>
    <mergeCell ref="H843:H848"/>
    <mergeCell ref="D1321:D1326"/>
    <mergeCell ref="C1285:C1290"/>
    <mergeCell ref="I759:I760"/>
    <mergeCell ref="I1387:I1388"/>
    <mergeCell ref="E1020:E1025"/>
    <mergeCell ref="I146:I147"/>
    <mergeCell ref="B518:B523"/>
    <mergeCell ref="G452:G457"/>
    <mergeCell ref="E1351:E1356"/>
    <mergeCell ref="I813:I814"/>
    <mergeCell ref="C855:C860"/>
    <mergeCell ref="I58:I59"/>
    <mergeCell ref="I1111:I1112"/>
    <mergeCell ref="F1014:F1019"/>
    <mergeCell ref="I785:I786"/>
    <mergeCell ref="D951:D956"/>
    <mergeCell ref="A1099:A1104"/>
    <mergeCell ref="I815:I816"/>
    <mergeCell ref="I60:I61"/>
    <mergeCell ref="I1113:I1114"/>
    <mergeCell ref="I358:I359"/>
    <mergeCell ref="H19:H24"/>
    <mergeCell ref="D524:D529"/>
    <mergeCell ref="E614:E619"/>
    <mergeCell ref="F711:F716"/>
    <mergeCell ref="F254:F259"/>
    <mergeCell ref="E1219:E1224"/>
    <mergeCell ref="G1135:G1140"/>
    <mergeCell ref="G380:G385"/>
    <mergeCell ref="G374:G379"/>
    <mergeCell ref="I70:I71"/>
    <mergeCell ref="H470:H475"/>
    <mergeCell ref="G680:G685"/>
    <mergeCell ref="B302:B307"/>
    <mergeCell ref="G674:G679"/>
    <mergeCell ref="H43:H48"/>
    <mergeCell ref="H314:H319"/>
    <mergeCell ref="I955:I956"/>
    <mergeCell ref="I200:I201"/>
    <mergeCell ref="I1253:I1254"/>
    <mergeCell ref="I534:I535"/>
    <mergeCell ref="F422:F427"/>
    <mergeCell ref="D1093:D1098"/>
    <mergeCell ref="F729:F734"/>
    <mergeCell ref="H74:H79"/>
    <mergeCell ref="C1026:C1031"/>
    <mergeCell ref="I1255:I1256"/>
    <mergeCell ref="I1016:I1017"/>
    <mergeCell ref="I500:I501"/>
    <mergeCell ref="I494:I495"/>
    <mergeCell ref="I282:I283"/>
    <mergeCell ref="H801:H806"/>
    <mergeCell ref="D1279:D1284"/>
    <mergeCell ref="H795:H800"/>
    <mergeCell ref="I711:I712"/>
    <mergeCell ref="A80:A85"/>
    <mergeCell ref="H374:H379"/>
    <mergeCell ref="E31:E36"/>
    <mergeCell ref="I1045:I1046"/>
    <mergeCell ref="A807:A812"/>
    <mergeCell ref="H1399:H1404"/>
    <mergeCell ref="B933:B938"/>
    <mergeCell ref="B1231:B1236"/>
    <mergeCell ref="D392:D397"/>
    <mergeCell ref="B506:B511"/>
    <mergeCell ref="G843:G848"/>
    <mergeCell ref="D236:D241"/>
    <mergeCell ref="I727:I728"/>
    <mergeCell ref="F152:F157"/>
    <mergeCell ref="I518:I519"/>
    <mergeCell ref="I124:I125"/>
    <mergeCell ref="I422:I423"/>
    <mergeCell ref="I729:I730"/>
    <mergeCell ref="A518:A523"/>
    <mergeCell ref="I887:I888"/>
    <mergeCell ref="I1185:I1186"/>
    <mergeCell ref="I126:I127"/>
    <mergeCell ref="I424:I425"/>
    <mergeCell ref="A735:A740"/>
    <mergeCell ref="D590:D595"/>
    <mergeCell ref="C284:C289"/>
    <mergeCell ref="F1081:F1086"/>
    <mergeCell ref="I1187:I1188"/>
    <mergeCell ref="C958:C963"/>
    <mergeCell ref="E1014:E1019"/>
    <mergeCell ref="F356:F361"/>
    <mergeCell ref="G446:G451"/>
    <mergeCell ref="C951:C956"/>
    <mergeCell ref="C584:C589"/>
    <mergeCell ref="H1183:H1188"/>
    <mergeCell ref="F1381:F1386"/>
    <mergeCell ref="B977:B982"/>
    <mergeCell ref="G19:G24"/>
    <mergeCell ref="C795:C800"/>
    <mergeCell ref="I142:I143"/>
    <mergeCell ref="E711:E716"/>
    <mergeCell ref="B1285:B1290"/>
    <mergeCell ref="D921:D926"/>
    <mergeCell ref="I152:I153"/>
    <mergeCell ref="H1141:H1146"/>
    <mergeCell ref="F380:F385"/>
    <mergeCell ref="I486:I487"/>
    <mergeCell ref="I442:I443"/>
    <mergeCell ref="I23:I24"/>
    <mergeCell ref="D1045:D1050"/>
    <mergeCell ref="I452:I453"/>
    <mergeCell ref="H140:H145"/>
    <mergeCell ref="I811:I812"/>
    <mergeCell ref="F680:F685"/>
    <mergeCell ref="I1109:I1110"/>
    <mergeCell ref="H867:H872"/>
    <mergeCell ref="G1075:G1080"/>
    <mergeCell ref="H1165:H1170"/>
    <mergeCell ref="A152:A157"/>
    <mergeCell ref="H1201:H1206"/>
    <mergeCell ref="H440:H445"/>
    <mergeCell ref="A879:A884"/>
    <mergeCell ref="A1177:A1182"/>
    <mergeCell ref="I1409:I1410"/>
    <mergeCell ref="C1093:C1098"/>
    <mergeCell ref="E729:E734"/>
    <mergeCell ref="C971:C976"/>
    <mergeCell ref="B1303:B1308"/>
    <mergeCell ref="E272:E277"/>
    <mergeCell ref="I468:I469"/>
    <mergeCell ref="G801:G806"/>
    <mergeCell ref="G915:G920"/>
    <mergeCell ref="E98:E103"/>
    <mergeCell ref="D1063:D1068"/>
    <mergeCell ref="A939:A944"/>
    <mergeCell ref="A933:A938"/>
    <mergeCell ref="E1159:E1164"/>
    <mergeCell ref="A1231:A1236"/>
    <mergeCell ref="E398:E403"/>
    <mergeCell ref="I524:I525"/>
    <mergeCell ref="F1279:F1284"/>
    <mergeCell ref="F524:F529"/>
    <mergeCell ref="I953:I954"/>
    <mergeCell ref="I1251:I1252"/>
    <mergeCell ref="I496:I497"/>
    <mergeCell ref="C236:C241"/>
    <mergeCell ref="F1033:F1038"/>
    <mergeCell ref="F693:F698"/>
    <mergeCell ref="G819:G824"/>
    <mergeCell ref="D332:D337"/>
    <mergeCell ref="C1297:C1302"/>
    <mergeCell ref="G1273:G1278"/>
    <mergeCell ref="F1333:F1338"/>
    <mergeCell ref="I1153:I1154"/>
    <mergeCell ref="I825:I826"/>
    <mergeCell ref="B284:B289"/>
    <mergeCell ref="I821:I822"/>
    <mergeCell ref="H1099:H1104"/>
    <mergeCell ref="E1081:E1086"/>
    <mergeCell ref="D1291:D1296"/>
    <mergeCell ref="I1155:I1156"/>
    <mergeCell ref="A320:A325"/>
    <mergeCell ref="I552:I553"/>
    <mergeCell ref="I514:I515"/>
    <mergeCell ref="B584:B589"/>
    <mergeCell ref="I1285:I1286"/>
    <mergeCell ref="G86:G91"/>
    <mergeCell ref="F1051:F1056"/>
    <mergeCell ref="I1279:I1280"/>
    <mergeCell ref="D777:D782"/>
    <mergeCell ref="F19:F24"/>
    <mergeCell ref="A977:A982"/>
    <mergeCell ref="G122:G127"/>
    <mergeCell ref="H212:H217"/>
    <mergeCell ref="D350:D355"/>
    <mergeCell ref="A620:A625"/>
    <mergeCell ref="G849:G854"/>
    <mergeCell ref="G1141:G1146"/>
    <mergeCell ref="G386:G391"/>
    <mergeCell ref="I851:I852"/>
    <mergeCell ref="H1267:H1272"/>
    <mergeCell ref="H512:H517"/>
    <mergeCell ref="H49:H54"/>
    <mergeCell ref="E801:E806"/>
    <mergeCell ref="A1279:A1284"/>
    <mergeCell ref="B1369:B1374"/>
    <mergeCell ref="I1295:I1296"/>
    <mergeCell ref="C1351:C1356"/>
    <mergeCell ref="B644:B649"/>
    <mergeCell ref="F464:F469"/>
    <mergeCell ref="E1399:E1404"/>
    <mergeCell ref="H80:H85"/>
    <mergeCell ref="I482:I483"/>
    <mergeCell ref="A1303:A1308"/>
    <mergeCell ref="A542:A547"/>
    <mergeCell ref="G404:G409"/>
    <mergeCell ref="F1351:F1356"/>
    <mergeCell ref="I869:I870"/>
    <mergeCell ref="I108:I109"/>
    <mergeCell ref="D1375:D1380"/>
    <mergeCell ref="C1069:C1074"/>
    <mergeCell ref="C765:C770"/>
    <mergeCell ref="D98:D103"/>
    <mergeCell ref="C1063:C1068"/>
    <mergeCell ref="C308:C313"/>
    <mergeCell ref="F1105:F1110"/>
    <mergeCell ref="D1001:D1006"/>
    <mergeCell ref="D861:D866"/>
    <mergeCell ref="D1159:D1164"/>
    <mergeCell ref="C1369:C1374"/>
    <mergeCell ref="E68:E73"/>
    <mergeCell ref="C608:C613"/>
    <mergeCell ref="F1405:F1410"/>
    <mergeCell ref="E524:E529"/>
    <mergeCell ref="F164:F169"/>
    <mergeCell ref="E1129:E1134"/>
    <mergeCell ref="I466:I467"/>
    <mergeCell ref="A1147:A1152"/>
    <mergeCell ref="I624:I625"/>
    <mergeCell ref="D729:D734"/>
    <mergeCell ref="I284:I285"/>
    <mergeCell ref="B656:B661"/>
    <mergeCell ref="G590:G595"/>
    <mergeCell ref="G152:G157"/>
    <mergeCell ref="I250:I251"/>
    <mergeCell ref="G1099:G1104"/>
    <mergeCell ref="I584:I585"/>
    <mergeCell ref="G1213:G1218"/>
    <mergeCell ref="A134:A139"/>
    <mergeCell ref="A1020:A1025"/>
    <mergeCell ref="H1339:H1344"/>
    <mergeCell ref="H578:H583"/>
    <mergeCell ref="C995:C1000"/>
    <mergeCell ref="E1057:E1062"/>
    <mergeCell ref="E753:E758"/>
    <mergeCell ref="C777:C782"/>
    <mergeCell ref="E1051:E1056"/>
    <mergeCell ref="F849:F854"/>
    <mergeCell ref="G939:G944"/>
    <mergeCell ref="F1147:F1152"/>
    <mergeCell ref="G512:G517"/>
    <mergeCell ref="E1183:E1188"/>
    <mergeCell ref="H152:H157"/>
    <mergeCell ref="G1117:G1122"/>
    <mergeCell ref="A614:A619"/>
    <mergeCell ref="B711:B716"/>
    <mergeCell ref="I1275:I1276"/>
    <mergeCell ref="I935:I936"/>
    <mergeCell ref="I180:I181"/>
    <mergeCell ref="B1045:B1050"/>
    <mergeCell ref="C1135:C1140"/>
    <mergeCell ref="I1391:I1392"/>
    <mergeCell ref="I332:I333"/>
    <mergeCell ref="F104:F109"/>
    <mergeCell ref="C374:C379"/>
    <mergeCell ref="F831:F836"/>
    <mergeCell ref="I937:I938"/>
    <mergeCell ref="D356:D361"/>
    <mergeCell ref="D470:D475"/>
    <mergeCell ref="F404:F409"/>
    <mergeCell ref="I632:I633"/>
    <mergeCell ref="C674:C679"/>
    <mergeCell ref="B735:B740"/>
    <mergeCell ref="H939:H944"/>
    <mergeCell ref="H933:H938"/>
    <mergeCell ref="D43:D48"/>
    <mergeCell ref="C1008:C1013"/>
    <mergeCell ref="I849:I850"/>
    <mergeCell ref="H476:H481"/>
    <mergeCell ref="B308:B313"/>
    <mergeCell ref="E1105:E1110"/>
    <mergeCell ref="A945:A950"/>
    <mergeCell ref="G356:G361"/>
    <mergeCell ref="D74:D79"/>
    <mergeCell ref="B608:B613"/>
    <mergeCell ref="G110:G115"/>
    <mergeCell ref="E1405:E1410"/>
    <mergeCell ref="D801:D806"/>
    <mergeCell ref="D795:D800"/>
    <mergeCell ref="E164:E169"/>
    <mergeCell ref="D1129:D1134"/>
    <mergeCell ref="D374:D379"/>
    <mergeCell ref="A31:A36"/>
    <mergeCell ref="I865:I866"/>
    <mergeCell ref="G1171:G1176"/>
    <mergeCell ref="I859:I860"/>
    <mergeCell ref="G410:G415"/>
    <mergeCell ref="D1399:D1404"/>
    <mergeCell ref="G1285:G1290"/>
    <mergeCell ref="I560:I561"/>
    <mergeCell ref="I831:I832"/>
    <mergeCell ref="I867:I868"/>
    <mergeCell ref="I1165:I1166"/>
    <mergeCell ref="C729:C734"/>
    <mergeCell ref="B326:B331"/>
    <mergeCell ref="I264:I265"/>
    <mergeCell ref="C843:C848"/>
    <mergeCell ref="I562:I563"/>
    <mergeCell ref="I991:I992"/>
    <mergeCell ref="B152:B157"/>
    <mergeCell ref="C422:C427"/>
    <mergeCell ref="H977:H982"/>
    <mergeCell ref="A1087:A1092"/>
    <mergeCell ref="F458:F463"/>
    <mergeCell ref="D971:D976"/>
    <mergeCell ref="B452:B457"/>
    <mergeCell ref="F272:F277"/>
    <mergeCell ref="H218:H223"/>
    <mergeCell ref="E1207:E1212"/>
    <mergeCell ref="I280:I281"/>
    <mergeCell ref="I709:I710"/>
    <mergeCell ref="D122:D127"/>
    <mergeCell ref="I290:I291"/>
    <mergeCell ref="A989:A994"/>
    <mergeCell ref="H1279:H1284"/>
    <mergeCell ref="I246:I247"/>
    <mergeCell ref="I580:I581"/>
    <mergeCell ref="F783:F788"/>
    <mergeCell ref="H338:H343"/>
    <mergeCell ref="D1183:D1188"/>
    <mergeCell ref="I1307:I1308"/>
    <mergeCell ref="I590:I591"/>
    <mergeCell ref="H242:H247"/>
    <mergeCell ref="F362:F367"/>
    <mergeCell ref="I582:I583"/>
    <mergeCell ref="A711:A716"/>
    <mergeCell ref="H1303:H1308"/>
    <mergeCell ref="B380:B385"/>
    <mergeCell ref="E1267:E1272"/>
    <mergeCell ref="E831:E836"/>
    <mergeCell ref="I272:I273"/>
    <mergeCell ref="D140:D145"/>
    <mergeCell ref="B680:B685"/>
    <mergeCell ref="I606:I607"/>
    <mergeCell ref="B674:B679"/>
    <mergeCell ref="E122:E127"/>
    <mergeCell ref="C1075:C1080"/>
    <mergeCell ref="I1035:I1036"/>
    <mergeCell ref="G1026:G1031"/>
    <mergeCell ref="D1201:D1206"/>
    <mergeCell ref="E1291:E1296"/>
    <mergeCell ref="D440:D445"/>
    <mergeCell ref="I608:I609"/>
    <mergeCell ref="C134:C139"/>
    <mergeCell ref="G1237:G1242"/>
    <mergeCell ref="G897:G902"/>
    <mergeCell ref="I1335:I1336"/>
    <mergeCell ref="A729:A734"/>
    <mergeCell ref="E536:E541"/>
    <mergeCell ref="F110:F115"/>
    <mergeCell ref="C801:C806"/>
    <mergeCell ref="F662:F667"/>
    <mergeCell ref="I1389:I1390"/>
    <mergeCell ref="I628:I629"/>
    <mergeCell ref="F1171:F1176"/>
    <mergeCell ref="E104:E109"/>
    <mergeCell ref="F1285:F1290"/>
    <mergeCell ref="B1279:B1284"/>
    <mergeCell ref="G650:G655"/>
    <mergeCell ref="E404:E409"/>
    <mergeCell ref="I232:I233"/>
    <mergeCell ref="H1020:H1025"/>
    <mergeCell ref="H290:H295"/>
    <mergeCell ref="B1033:B1038"/>
    <mergeCell ref="B693:B698"/>
    <mergeCell ref="I198:I199"/>
    <mergeCell ref="F1399:F1404"/>
    <mergeCell ref="I1073:I1074"/>
    <mergeCell ref="C819:C824"/>
    <mergeCell ref="I532:I533"/>
    <mergeCell ref="H590:H595"/>
    <mergeCell ref="A458:A463"/>
    <mergeCell ref="I652:I653"/>
    <mergeCell ref="F855:F860"/>
    <mergeCell ref="B1333:B1338"/>
    <mergeCell ref="F1153:F1158"/>
    <mergeCell ref="I1259:I1260"/>
    <mergeCell ref="A452:A457"/>
    <mergeCell ref="F1189:F1194"/>
    <mergeCell ref="I662:I663"/>
    <mergeCell ref="I1373:I1374"/>
    <mergeCell ref="I960:I961"/>
    <mergeCell ref="G951:G956"/>
    <mergeCell ref="C218:C223"/>
    <mergeCell ref="A1081:A1086"/>
    <mergeCell ref="H1369:H1374"/>
    <mergeCell ref="H614:H619"/>
    <mergeCell ref="H650:H655"/>
    <mergeCell ref="H921:H926"/>
    <mergeCell ref="H644:H649"/>
    <mergeCell ref="G338:G343"/>
    <mergeCell ref="C1183:C1188"/>
    <mergeCell ref="C122:C127"/>
    <mergeCell ref="D212:D217"/>
    <mergeCell ref="I1287:I1288"/>
    <mergeCell ref="A897:A902"/>
    <mergeCell ref="I374:I375"/>
    <mergeCell ref="I672:I673"/>
    <mergeCell ref="C1141:C1146"/>
    <mergeCell ref="I1399:I1400"/>
    <mergeCell ref="A380:A385"/>
    <mergeCell ref="G242:G247"/>
    <mergeCell ref="G977:G982"/>
    <mergeCell ref="D1267:D1272"/>
    <mergeCell ref="D512:D517"/>
    <mergeCell ref="I674:I675"/>
    <mergeCell ref="A680:A685"/>
    <mergeCell ref="H1387:H1392"/>
    <mergeCell ref="B320:B325"/>
    <mergeCell ref="F1026:F1031"/>
    <mergeCell ref="C446:C451"/>
    <mergeCell ref="C440:C445"/>
    <mergeCell ref="I973:I974"/>
    <mergeCell ref="F1237:F1242"/>
    <mergeCell ref="F482:F487"/>
    <mergeCell ref="D80:D85"/>
    <mergeCell ref="H31:H36"/>
    <mergeCell ref="E206:E211"/>
    <mergeCell ref="B801:B806"/>
    <mergeCell ref="E933:E938"/>
    <mergeCell ref="E1231:E1236"/>
    <mergeCell ref="G989:G994"/>
    <mergeCell ref="F1357:F1362"/>
    <mergeCell ref="E506:E511"/>
    <mergeCell ref="F596:F601"/>
    <mergeCell ref="C885:C890"/>
    <mergeCell ref="I604:I605"/>
    <mergeCell ref="I88:I89"/>
    <mergeCell ref="A1285:A1290"/>
    <mergeCell ref="I1033:I1034"/>
    <mergeCell ref="D867:D872"/>
    <mergeCell ref="A524:A529"/>
    <mergeCell ref="I1331:I1332"/>
    <mergeCell ref="D1165:D1170"/>
    <mergeCell ref="G290:G295"/>
    <mergeCell ref="B164:B169"/>
    <mergeCell ref="A1129:A1134"/>
    <mergeCell ref="I90:I91"/>
    <mergeCell ref="I1026:I1027"/>
    <mergeCell ref="I388:I389"/>
    <mergeCell ref="A1033:A1038"/>
    <mergeCell ref="A693:A698"/>
    <mergeCell ref="I1333:I1334"/>
    <mergeCell ref="F170:F175"/>
    <mergeCell ref="G1351:G1356"/>
    <mergeCell ref="F284:F289"/>
    <mergeCell ref="I1028:I1029"/>
    <mergeCell ref="F958:F963"/>
    <mergeCell ref="C590:C595"/>
    <mergeCell ref="G1165:G1170"/>
    <mergeCell ref="H1014:H1019"/>
    <mergeCell ref="H989:H994"/>
    <mergeCell ref="A98:A103"/>
    <mergeCell ref="E434:E439"/>
    <mergeCell ref="D1008:D1013"/>
    <mergeCell ref="C1099:C1104"/>
    <mergeCell ref="G158:G163"/>
    <mergeCell ref="E977:E982"/>
    <mergeCell ref="G194:G199"/>
    <mergeCell ref="D1339:D1344"/>
    <mergeCell ref="G921:G926"/>
    <mergeCell ref="G1219:G1224"/>
    <mergeCell ref="B86:B91"/>
    <mergeCell ref="G494:G499"/>
    <mergeCell ref="C212:C217"/>
    <mergeCell ref="I739:I740"/>
    <mergeCell ref="B849:B854"/>
    <mergeCell ref="B1147:B1152"/>
    <mergeCell ref="I312:I313"/>
    <mergeCell ref="C1273:C1278"/>
    <mergeCell ref="C512:C517"/>
    <mergeCell ref="I741:I742"/>
    <mergeCell ref="I13:I14"/>
    <mergeCell ref="D152:D157"/>
    <mergeCell ref="S4:S5"/>
    <mergeCell ref="I958:I959"/>
    <mergeCell ref="C1117:C1122"/>
    <mergeCell ref="I314:I315"/>
    <mergeCell ref="F971:F976"/>
    <mergeCell ref="H272:H277"/>
    <mergeCell ref="E1297:E1302"/>
    <mergeCell ref="E1333:E1338"/>
    <mergeCell ref="E578:E583"/>
    <mergeCell ref="H1375:H1380"/>
    <mergeCell ref="D176:D181"/>
    <mergeCell ref="I1395:I1396"/>
    <mergeCell ref="I338:I339"/>
    <mergeCell ref="G31:G36"/>
    <mergeCell ref="B1165:B1170"/>
    <mergeCell ref="A1237:A1242"/>
    <mergeCell ref="D939:D944"/>
    <mergeCell ref="D933:D938"/>
    <mergeCell ref="D1231:D1236"/>
    <mergeCell ref="D476:D481"/>
    <mergeCell ref="I340:I341"/>
    <mergeCell ref="E1357:E1362"/>
    <mergeCell ref="A1105:A1110"/>
    <mergeCell ref="D49:D54"/>
    <mergeCell ref="F699:F704"/>
    <mergeCell ref="G548:G553"/>
    <mergeCell ref="F236:F241"/>
    <mergeCell ref="I969:I970"/>
    <mergeCell ref="G362:G367"/>
    <mergeCell ref="E927:E932"/>
    <mergeCell ref="A1405:A1410"/>
    <mergeCell ref="G476:G481"/>
    <mergeCell ref="F1297:F1302"/>
    <mergeCell ref="A164:A169"/>
    <mergeCell ref="C1171:C1176"/>
    <mergeCell ref="B290:B295"/>
    <mergeCell ref="E170:E175"/>
    <mergeCell ref="A1225:A1230"/>
    <mergeCell ref="E284:E289"/>
    <mergeCell ref="E958:E963"/>
    <mergeCell ref="B590:B595"/>
    <mergeCell ref="G1291:G1296"/>
    <mergeCell ref="I84:I85"/>
    <mergeCell ref="H356:H361"/>
    <mergeCell ref="E1345:E1350"/>
    <mergeCell ref="B1099:B1104"/>
    <mergeCell ref="H170:H175"/>
    <mergeCell ref="D977:D982"/>
    <mergeCell ref="B1213:B1218"/>
    <mergeCell ref="I86:I87"/>
    <mergeCell ref="B458:B463"/>
    <mergeCell ref="I1139:I1140"/>
    <mergeCell ref="I384:I385"/>
    <mergeCell ref="A68:A73"/>
    <mergeCell ref="I378:I379"/>
    <mergeCell ref="C1339:C1344"/>
    <mergeCell ref="F921:F926"/>
    <mergeCell ref="A795:A800"/>
    <mergeCell ref="D218:D223"/>
    <mergeCell ref="I386:I387"/>
    <mergeCell ref="H380:H385"/>
    <mergeCell ref="I684:I685"/>
    <mergeCell ref="H687:H692"/>
    <mergeCell ref="E344:E349"/>
    <mergeCell ref="H224:H229"/>
    <mergeCell ref="B789:B794"/>
    <mergeCell ref="B783:B788"/>
    <mergeCell ref="E644:E649"/>
    <mergeCell ref="C152:C157"/>
    <mergeCell ref="B1117:B1122"/>
    <mergeCell ref="I112:I113"/>
    <mergeCell ref="D242:D247"/>
    <mergeCell ref="D278:D283"/>
    <mergeCell ref="A548:A553"/>
    <mergeCell ref="I1173:I1174"/>
    <mergeCell ref="I114:I115"/>
    <mergeCell ref="D1303:D1308"/>
    <mergeCell ref="I1167:I1168"/>
    <mergeCell ref="I412:I413"/>
    <mergeCell ref="D578:D583"/>
    <mergeCell ref="C272:C277"/>
    <mergeCell ref="E668:E673"/>
    <mergeCell ref="G1375:G1380"/>
    <mergeCell ref="A831:A836"/>
    <mergeCell ref="F1069:F1074"/>
    <mergeCell ref="F765:F770"/>
    <mergeCell ref="F1063:F1068"/>
    <mergeCell ref="F308:F313"/>
    <mergeCell ref="I737:I738"/>
    <mergeCell ref="C939:C944"/>
    <mergeCell ref="A122:A127"/>
    <mergeCell ref="F608:F613"/>
    <mergeCell ref="C170:C175"/>
    <mergeCell ref="I1037:I1038"/>
    <mergeCell ref="H524:H529"/>
    <mergeCell ref="I1195:I1196"/>
    <mergeCell ref="E699:E704"/>
    <mergeCell ref="C897:C902"/>
    <mergeCell ref="E242:E247"/>
    <mergeCell ref="H1129:H1134"/>
    <mergeCell ref="I797:I798"/>
    <mergeCell ref="B662:B667"/>
    <mergeCell ref="I763:I764"/>
    <mergeCell ref="I799:I800"/>
    <mergeCell ref="F326:F331"/>
    <mergeCell ref="B1171:B1176"/>
    <mergeCell ref="I1097:I1098"/>
    <mergeCell ref="B831:B836"/>
    <mergeCell ref="G765:G770"/>
    <mergeCell ref="I336:I337"/>
    <mergeCell ref="G1063:G1068"/>
    <mergeCell ref="I765:I766"/>
    <mergeCell ref="I450:I451"/>
    <mergeCell ref="I1063:I1064"/>
    <mergeCell ref="H428:H433"/>
    <mergeCell ref="I1221:I1222"/>
    <mergeCell ref="I1099:I1100"/>
    <mergeCell ref="F1291:F1296"/>
    <mergeCell ref="I1397:I1398"/>
    <mergeCell ref="H542:H547"/>
    <mergeCell ref="D1020:D1025"/>
    <mergeCell ref="I39:I40"/>
    <mergeCell ref="H759:H764"/>
    <mergeCell ref="F995:F1000"/>
    <mergeCell ref="H1057:H1062"/>
    <mergeCell ref="H753:H758"/>
    <mergeCell ref="H1051:H1056"/>
    <mergeCell ref="H296:H301"/>
    <mergeCell ref="C977:C982"/>
    <mergeCell ref="B1399:B1404"/>
    <mergeCell ref="F350:F355"/>
    <mergeCell ref="I781:I782"/>
    <mergeCell ref="I939:I940"/>
    <mergeCell ref="D1105:D1110"/>
    <mergeCell ref="I512:I513"/>
    <mergeCell ref="I783:I784"/>
    <mergeCell ref="I49:I50"/>
    <mergeCell ref="C1279:C1284"/>
    <mergeCell ref="I1239:I1240"/>
    <mergeCell ref="I484:I485"/>
    <mergeCell ref="D1369:D1374"/>
    <mergeCell ref="I478:I479"/>
    <mergeCell ref="D1405:D1410"/>
    <mergeCell ref="D650:D655"/>
    <mergeCell ref="D644:D649"/>
    <mergeCell ref="C338:C343"/>
    <mergeCell ref="F1135:F1140"/>
    <mergeCell ref="I1241:I1242"/>
    <mergeCell ref="F410:F415"/>
    <mergeCell ref="C1399:C1404"/>
    <mergeCell ref="A146:A151"/>
    <mergeCell ref="I807:I808"/>
    <mergeCell ref="E771:E776"/>
    <mergeCell ref="F1008:F1013"/>
    <mergeCell ref="E1069:E1074"/>
    <mergeCell ref="E308:E313"/>
    <mergeCell ref="G958:G963"/>
    <mergeCell ref="F434:F439"/>
    <mergeCell ref="D1387:D1392"/>
    <mergeCell ref="G74:G79"/>
    <mergeCell ref="E1369:E1374"/>
    <mergeCell ref="B1026:B1031"/>
    <mergeCell ref="G68:G73"/>
    <mergeCell ref="I110:I111"/>
    <mergeCell ref="I1163:I1164"/>
    <mergeCell ref="I408:I409"/>
    <mergeCell ref="B897:B902"/>
    <mergeCell ref="G1129:G1134"/>
    <mergeCell ref="H1219:H1224"/>
    <mergeCell ref="A206:A211"/>
    <mergeCell ref="I1171:I1172"/>
    <mergeCell ref="H494:H499"/>
    <mergeCell ref="A662:A667"/>
    <mergeCell ref="I410:I411"/>
    <mergeCell ref="C989:C994"/>
    <mergeCell ref="I228:I229"/>
    <mergeCell ref="A506:A511"/>
    <mergeCell ref="A1171:A1176"/>
    <mergeCell ref="E326:E331"/>
    <mergeCell ref="H825:H830"/>
    <mergeCell ref="H1123:H1128"/>
    <mergeCell ref="E1387:E1392"/>
    <mergeCell ref="H68:H73"/>
    <mergeCell ref="G542:G547"/>
    <mergeCell ref="C1020:C1025"/>
    <mergeCell ref="G759:G764"/>
    <mergeCell ref="C1237:C1242"/>
    <mergeCell ref="E995:E1000"/>
    <mergeCell ref="G296:G301"/>
    <mergeCell ref="B170:B175"/>
    <mergeCell ref="I1311:I1312"/>
    <mergeCell ref="A855:A860"/>
    <mergeCell ref="B958:B963"/>
    <mergeCell ref="G1357:G1362"/>
    <mergeCell ref="D989:D994"/>
    <mergeCell ref="D1014:D1019"/>
    <mergeCell ref="C404:C409"/>
    <mergeCell ref="A1032:AJ1032"/>
    <mergeCell ref="I877:I878"/>
    <mergeCell ref="G1183:G1188"/>
    <mergeCell ref="H548:H553"/>
    <mergeCell ref="C650:C655"/>
    <mergeCell ref="I879:I880"/>
    <mergeCell ref="C921:C926"/>
    <mergeCell ref="C1219:C1224"/>
    <mergeCell ref="B338:B343"/>
    <mergeCell ref="E837:E842"/>
    <mergeCell ref="E1135:E1140"/>
    <mergeCell ref="E380:E385"/>
    <mergeCell ref="H104:H109"/>
    <mergeCell ref="E410:E415"/>
    <mergeCell ref="I1179:I1180"/>
    <mergeCell ref="G140:G145"/>
    <mergeCell ref="E680:E685"/>
    <mergeCell ref="H122:H127"/>
    <mergeCell ref="D404:D409"/>
    <mergeCell ref="I1235:I1236"/>
    <mergeCell ref="E1008:E1013"/>
    <mergeCell ref="G903:G908"/>
    <mergeCell ref="G1201:G1206"/>
    <mergeCell ref="I134:I135"/>
    <mergeCell ref="G440:G445"/>
    <mergeCell ref="I1237:I1238"/>
    <mergeCell ref="B971:B976"/>
    <mergeCell ref="I897:I898"/>
    <mergeCell ref="F74:F79"/>
    <mergeCell ref="D614:D619"/>
    <mergeCell ref="D272:D277"/>
    <mergeCell ref="A1026:A1031"/>
    <mergeCell ref="A1333:A1338"/>
    <mergeCell ref="F801:F806"/>
    <mergeCell ref="E1153:E1158"/>
    <mergeCell ref="F837:F842"/>
    <mergeCell ref="A964:AJ964"/>
    <mergeCell ref="F374:F379"/>
    <mergeCell ref="C31:C36"/>
    <mergeCell ref="I803:I804"/>
    <mergeCell ref="G500:G505"/>
    <mergeCell ref="G614:G619"/>
    <mergeCell ref="A302:A307"/>
    <mergeCell ref="F674:F679"/>
    <mergeCell ref="B392:B397"/>
    <mergeCell ref="A1357:A1362"/>
    <mergeCell ref="D326:D331"/>
    <mergeCell ref="G825:G830"/>
    <mergeCell ref="B699:B704"/>
    <mergeCell ref="C548:C553"/>
    <mergeCell ref="G1123:G1128"/>
    <mergeCell ref="I923:I924"/>
    <mergeCell ref="F92:F97"/>
    <mergeCell ref="E693:E698"/>
    <mergeCell ref="C362:C367"/>
    <mergeCell ref="F819:F824"/>
    <mergeCell ref="B1297:B1302"/>
    <mergeCell ref="D452:D457"/>
    <mergeCell ref="I188:I189"/>
    <mergeCell ref="A170:A175"/>
    <mergeCell ref="D31:D36"/>
    <mergeCell ref="B1351:B1356"/>
    <mergeCell ref="I522:I523"/>
    <mergeCell ref="A284:A289"/>
    <mergeCell ref="I951:I952"/>
    <mergeCell ref="A958:A963"/>
    <mergeCell ref="I1249:I1250"/>
    <mergeCell ref="I190:I191"/>
    <mergeCell ref="C1014:C1019"/>
    <mergeCell ref="H176:H181"/>
    <mergeCell ref="H789:H794"/>
    <mergeCell ref="E482:E487"/>
    <mergeCell ref="D170:D175"/>
    <mergeCell ref="E19:E24"/>
    <mergeCell ref="B921:B926"/>
    <mergeCell ref="I847:I848"/>
    <mergeCell ref="D380:D385"/>
    <mergeCell ref="G1267:G1272"/>
    <mergeCell ref="D687:D692"/>
    <mergeCell ref="I971:I972"/>
    <mergeCell ref="I216:I217"/>
    <mergeCell ref="I94:I95"/>
    <mergeCell ref="D224:D229"/>
    <mergeCell ref="I252:I253"/>
    <mergeCell ref="F140:F145"/>
    <mergeCell ref="I550:I551"/>
    <mergeCell ref="I208:I209"/>
    <mergeCell ref="I544:I545"/>
    <mergeCell ref="F867:F872"/>
    <mergeCell ref="E464:E469"/>
    <mergeCell ref="I516:I517"/>
    <mergeCell ref="F903:F908"/>
    <mergeCell ref="H965:H970"/>
    <mergeCell ref="F1201:F1206"/>
    <mergeCell ref="F446:F451"/>
    <mergeCell ref="I875:I876"/>
    <mergeCell ref="F440:F445"/>
    <mergeCell ref="C735:C740"/>
    <mergeCell ref="A971:A976"/>
    <mergeCell ref="A6:AJ6"/>
    <mergeCell ref="G995:G1000"/>
    <mergeCell ref="H206:H211"/>
    <mergeCell ref="I1175:I1176"/>
    <mergeCell ref="B1069:B1074"/>
    <mergeCell ref="B1063:B1068"/>
    <mergeCell ref="I989:I990"/>
    <mergeCell ref="I234:I235"/>
    <mergeCell ref="H506:H511"/>
    <mergeCell ref="F158:F163"/>
    <mergeCell ref="F614:F619"/>
    <mergeCell ref="F885:F890"/>
    <mergeCell ref="I236:I237"/>
    <mergeCell ref="I901:I902"/>
    <mergeCell ref="F1219:F1224"/>
    <mergeCell ref="A699:A704"/>
    <mergeCell ref="B548:B553"/>
    <mergeCell ref="F368:F373"/>
    <mergeCell ref="A242:A247"/>
    <mergeCell ref="A236:A241"/>
    <mergeCell ref="I903:I904"/>
    <mergeCell ref="I588:I589"/>
    <mergeCell ref="I1201:I1202"/>
    <mergeCell ref="H128:H133"/>
    <mergeCell ref="E819:E824"/>
    <mergeCell ref="A1297:A1302"/>
    <mergeCell ref="H891:H896"/>
    <mergeCell ref="E548:E553"/>
    <mergeCell ref="H434:H439"/>
    <mergeCell ref="G1008:G1013"/>
    <mergeCell ref="F1099:F1104"/>
    <mergeCell ref="I919:I920"/>
    <mergeCell ref="B1291:B1296"/>
    <mergeCell ref="G1225:G1230"/>
    <mergeCell ref="I158:I159"/>
    <mergeCell ref="G885:G890"/>
    <mergeCell ref="I316:I317"/>
    <mergeCell ref="I614:I615"/>
    <mergeCell ref="D759:D764"/>
    <mergeCell ref="I745:I746"/>
    <mergeCell ref="D753:D758"/>
    <mergeCell ref="B995:B1000"/>
    <mergeCell ref="I1043:I1044"/>
    <mergeCell ref="B777:B782"/>
    <mergeCell ref="D1051:D1056"/>
    <mergeCell ref="I1341:I1342"/>
    <mergeCell ref="I160:I161"/>
    <mergeCell ref="I1219:I1220"/>
    <mergeCell ref="I921:I922"/>
    <mergeCell ref="B236:B241"/>
    <mergeCell ref="I1377:I1378"/>
    <mergeCell ref="F212:F217"/>
    <mergeCell ref="I616:I617"/>
    <mergeCell ref="E849:E854"/>
    <mergeCell ref="A921:A926"/>
    <mergeCell ref="C476:C481"/>
    <mergeCell ref="I1343:I1344"/>
    <mergeCell ref="H873:H878"/>
    <mergeCell ref="F1273:F1278"/>
    <mergeCell ref="I1379:I1380"/>
    <mergeCell ref="F1267:F1272"/>
    <mergeCell ref="F512:F517"/>
    <mergeCell ref="C687:C692"/>
    <mergeCell ref="F548:F553"/>
    <mergeCell ref="G638:G643"/>
    <mergeCell ref="H1033:H1038"/>
    <mergeCell ref="H278:H283"/>
    <mergeCell ref="I1061:I1062"/>
    <mergeCell ref="E717:E722"/>
    <mergeCell ref="E446:E451"/>
    <mergeCell ref="I29:I30"/>
    <mergeCell ref="H1333:H1338"/>
    <mergeCell ref="B410:B415"/>
    <mergeCell ref="F230:F235"/>
    <mergeCell ref="I458:I459"/>
    <mergeCell ref="I634:I635"/>
    <mergeCell ref="G212:G217"/>
    <mergeCell ref="D1237:D1242"/>
    <mergeCell ref="G206:G211"/>
    <mergeCell ref="I1361:I1362"/>
    <mergeCell ref="I31:I32"/>
    <mergeCell ref="G933:G938"/>
    <mergeCell ref="F530:F535"/>
    <mergeCell ref="B1375:B1380"/>
    <mergeCell ref="B1008:B1013"/>
    <mergeCell ref="A1069:A1074"/>
    <mergeCell ref="I546:I547"/>
    <mergeCell ref="A771:A776"/>
    <mergeCell ref="A308:A313"/>
    <mergeCell ref="I540:I541"/>
    <mergeCell ref="H1357:H1362"/>
    <mergeCell ref="G506:G511"/>
    <mergeCell ref="A344:A349"/>
    <mergeCell ref="I1273:I1274"/>
    <mergeCell ref="H596:H601"/>
    <mergeCell ref="B434:B439"/>
    <mergeCell ref="H632:H637"/>
    <mergeCell ref="I548:I549"/>
    <mergeCell ref="C74:C79"/>
    <mergeCell ref="A1369:A1374"/>
    <mergeCell ref="C68:C73"/>
    <mergeCell ref="D338:D343"/>
    <mergeCell ref="B7:B12"/>
    <mergeCell ref="A608:A613"/>
    <mergeCell ref="A644:A649"/>
    <mergeCell ref="C524:C529"/>
    <mergeCell ref="H1261:H1266"/>
    <mergeCell ref="C1129:C1134"/>
    <mergeCell ref="E290:E295"/>
    <mergeCell ref="G224:G229"/>
    <mergeCell ref="D494:D499"/>
    <mergeCell ref="I687:I688"/>
    <mergeCell ref="I985:I986"/>
    <mergeCell ref="I230:I231"/>
    <mergeCell ref="C128:C133"/>
    <mergeCell ref="B729:B734"/>
    <mergeCell ref="A326:A331"/>
    <mergeCell ref="H958:H963"/>
    <mergeCell ref="E590:E595"/>
    <mergeCell ref="B765:B770"/>
    <mergeCell ref="I1291:I1292"/>
    <mergeCell ref="I987:I988"/>
    <mergeCell ref="I530:I531"/>
    <mergeCell ref="I1145:I1146"/>
    <mergeCell ref="A1387:A1392"/>
    <mergeCell ref="C428:C433"/>
    <mergeCell ref="D68:D73"/>
    <mergeCell ref="C542:C547"/>
    <mergeCell ref="F1339:F1344"/>
    <mergeCell ref="C759:C764"/>
    <mergeCell ref="A995:A1000"/>
    <mergeCell ref="C1057:C1062"/>
    <mergeCell ref="C1051:C1056"/>
    <mergeCell ref="H1105:H1110"/>
    <mergeCell ref="E62:E67"/>
    <mergeCell ref="C1357:C1362"/>
    <mergeCell ref="I256:I257"/>
    <mergeCell ref="E1273:E1278"/>
    <mergeCell ref="H1405:H1410"/>
    <mergeCell ref="E512:E517"/>
    <mergeCell ref="E1117:E1122"/>
    <mergeCell ref="A49:A54"/>
    <mergeCell ref="G1033:G1038"/>
    <mergeCell ref="G278:G283"/>
    <mergeCell ref="A110:A115"/>
    <mergeCell ref="I1008:I1009"/>
    <mergeCell ref="A837:A842"/>
    <mergeCell ref="A1135:A1140"/>
    <mergeCell ref="G1339:G1344"/>
    <mergeCell ref="D104:D109"/>
    <mergeCell ref="G1333:G1338"/>
    <mergeCell ref="G578:G583"/>
    <mergeCell ref="A410:A415"/>
    <mergeCell ref="I1339:I1340"/>
    <mergeCell ref="I701:I702"/>
    <mergeCell ref="E230:E235"/>
    <mergeCell ref="I1375:I1376"/>
    <mergeCell ref="I274:I275"/>
    <mergeCell ref="F939:F944"/>
    <mergeCell ref="I1001:I1002"/>
    <mergeCell ref="F56:F61"/>
    <mergeCell ref="E530:E535"/>
    <mergeCell ref="C903:C908"/>
    <mergeCell ref="A1008:A1013"/>
    <mergeCell ref="G723:G728"/>
    <mergeCell ref="C1201:C1206"/>
    <mergeCell ref="H699:H704"/>
    <mergeCell ref="B74:B79"/>
    <mergeCell ref="A1153:A1158"/>
    <mergeCell ref="E662:E667"/>
    <mergeCell ref="B837:B842"/>
    <mergeCell ref="G596:G601"/>
    <mergeCell ref="C927:C932"/>
    <mergeCell ref="B1135:B1140"/>
    <mergeCell ref="I27:I28"/>
    <mergeCell ref="B1129:B1134"/>
    <mergeCell ref="B374:B379"/>
    <mergeCell ref="I300:I301"/>
    <mergeCell ref="E1171:E1176"/>
    <mergeCell ref="D290:D295"/>
    <mergeCell ref="C1255:C1260"/>
    <mergeCell ref="C500:C505"/>
    <mergeCell ref="C37:C42"/>
    <mergeCell ref="I1359:I1360"/>
    <mergeCell ref="I1081:I1082"/>
    <mergeCell ref="H717:H722"/>
    <mergeCell ref="A422:A427"/>
    <mergeCell ref="I328:I329"/>
    <mergeCell ref="B819:B824"/>
    <mergeCell ref="D735:D740"/>
    <mergeCell ref="H927:H932"/>
    <mergeCell ref="E891:E896"/>
    <mergeCell ref="E1189:E1194"/>
    <mergeCell ref="A578:A583"/>
    <mergeCell ref="I1385:I1386"/>
    <mergeCell ref="G1105:G1110"/>
    <mergeCell ref="G344:G349"/>
    <mergeCell ref="D62:D67"/>
    <mergeCell ref="I1107:I1108"/>
    <mergeCell ref="H13:H18"/>
    <mergeCell ref="D789:D794"/>
    <mergeCell ref="G1405:G1410"/>
    <mergeCell ref="G644:G649"/>
    <mergeCell ref="D825:D830"/>
    <mergeCell ref="I773:I774"/>
    <mergeCell ref="F338:F343"/>
    <mergeCell ref="A482:A487"/>
    <mergeCell ref="I354:I355"/>
    <mergeCell ref="D362:D367"/>
    <mergeCell ref="F278:F283"/>
    <mergeCell ref="E602:E607"/>
    <mergeCell ref="I356:I357"/>
    <mergeCell ref="I654:I655"/>
    <mergeCell ref="F578:F583"/>
    <mergeCell ref="H771:H776"/>
    <mergeCell ref="H1069:H1074"/>
    <mergeCell ref="H765:H770"/>
    <mergeCell ref="I827:I828"/>
    <mergeCell ref="E1375:E1380"/>
    <mergeCell ref="B140:B145"/>
    <mergeCell ref="H344:H349"/>
    <mergeCell ref="G1387:G1392"/>
    <mergeCell ref="I793:I794"/>
    <mergeCell ref="B903:B908"/>
    <mergeCell ref="D965:D970"/>
    <mergeCell ref="F723:F728"/>
    <mergeCell ref="B1201:B1206"/>
    <mergeCell ref="B446:B451"/>
    <mergeCell ref="I1127:I1128"/>
    <mergeCell ref="I372:I373"/>
    <mergeCell ref="I68:I69"/>
    <mergeCell ref="B440:B445"/>
    <mergeCell ref="C566:C571"/>
    <mergeCell ref="I795:I796"/>
    <mergeCell ref="A74:A79"/>
    <mergeCell ref="F1363:F1368"/>
    <mergeCell ref="D206:D211"/>
    <mergeCell ref="I1129:I1130"/>
    <mergeCell ref="D662:D667"/>
    <mergeCell ref="I707:I708"/>
    <mergeCell ref="B927:B932"/>
    <mergeCell ref="A374:A379"/>
    <mergeCell ref="H783:H788"/>
    <mergeCell ref="D506:D511"/>
    <mergeCell ref="I1041:I1042"/>
    <mergeCell ref="H326:H331"/>
    <mergeCell ref="B158:B163"/>
    <mergeCell ref="C140:C145"/>
    <mergeCell ref="B614:B619"/>
    <mergeCell ref="C867:C872"/>
    <mergeCell ref="B1219:B1224"/>
    <mergeCell ref="I723:I724"/>
    <mergeCell ref="A92:A97"/>
    <mergeCell ref="H995:H1000"/>
    <mergeCell ref="G1363:G1368"/>
    <mergeCell ref="A819:A824"/>
    <mergeCell ref="I296:I297"/>
    <mergeCell ref="F296:F301"/>
    <mergeCell ref="I725:I726"/>
    <mergeCell ref="G1014:G1019"/>
    <mergeCell ref="D891:D896"/>
    <mergeCell ref="B915:B920"/>
    <mergeCell ref="I122:I123"/>
    <mergeCell ref="D1189:D1194"/>
    <mergeCell ref="I420:I421"/>
    <mergeCell ref="I298:I299"/>
    <mergeCell ref="I596:I597"/>
    <mergeCell ref="H56:H61"/>
    <mergeCell ref="I456:I457"/>
    <mergeCell ref="A218:A223"/>
    <mergeCell ref="E554:E559"/>
    <mergeCell ref="I1323:I1324"/>
    <mergeCell ref="I1183:I1184"/>
    <mergeCell ref="H110:H115"/>
    <mergeCell ref="F650:F655"/>
    <mergeCell ref="E338:E343"/>
    <mergeCell ref="H837:H842"/>
    <mergeCell ref="H1135:H1140"/>
    <mergeCell ref="G1345:G1350"/>
    <mergeCell ref="H1171:H1176"/>
    <mergeCell ref="I138:I139"/>
    <mergeCell ref="H410:H415"/>
    <mergeCell ref="G104:G109"/>
    <mergeCell ref="D602:D607"/>
    <mergeCell ref="I9:I10"/>
    <mergeCell ref="B1273:B1278"/>
    <mergeCell ref="I1199:I1200"/>
    <mergeCell ref="I140:I141"/>
    <mergeCell ref="E855:E860"/>
    <mergeCell ref="B1267:B1272"/>
    <mergeCell ref="I438:I439"/>
    <mergeCell ref="G771:G776"/>
    <mergeCell ref="I11:I12"/>
    <mergeCell ref="D1033:D1038"/>
    <mergeCell ref="I440:I441"/>
    <mergeCell ref="H92:H97"/>
    <mergeCell ref="I1105:I1106"/>
    <mergeCell ref="F1387:F1392"/>
    <mergeCell ref="F668:F673"/>
    <mergeCell ref="H1039:H1044"/>
    <mergeCell ref="C965:C970"/>
    <mergeCell ref="A903:A908"/>
    <mergeCell ref="A1201:A1206"/>
    <mergeCell ref="A446:A451"/>
    <mergeCell ref="D1333:D1338"/>
    <mergeCell ref="H1153:H1158"/>
    <mergeCell ref="B572:B577"/>
    <mergeCell ref="I650:I651"/>
    <mergeCell ref="D1057:D1062"/>
    <mergeCell ref="C206:C211"/>
    <mergeCell ref="I464:I465"/>
    <mergeCell ref="C662:C667"/>
    <mergeCell ref="C933:C938"/>
    <mergeCell ref="I37:I38"/>
    <mergeCell ref="G789:G794"/>
    <mergeCell ref="C1267:C1272"/>
    <mergeCell ref="D1357:D1362"/>
    <mergeCell ref="C506:C511"/>
    <mergeCell ref="G326:G331"/>
    <mergeCell ref="D632:D637"/>
    <mergeCell ref="I1123:I1124"/>
    <mergeCell ref="I368:I369"/>
    <mergeCell ref="F1123:F1128"/>
    <mergeCell ref="F1117:F1122"/>
    <mergeCell ref="B867:B872"/>
    <mergeCell ref="A464:A469"/>
    <mergeCell ref="I1089:I1090"/>
    <mergeCell ref="E1026:E1031"/>
    <mergeCell ref="C380:C385"/>
    <mergeCell ref="I1247:I1248"/>
    <mergeCell ref="I1125:I1126"/>
    <mergeCell ref="I370:I371"/>
    <mergeCell ref="I668:I669"/>
    <mergeCell ref="I364:I365"/>
    <mergeCell ref="A290:A295"/>
    <mergeCell ref="C224:C229"/>
    <mergeCell ref="A1351:A1356"/>
    <mergeCell ref="D958:D963"/>
    <mergeCell ref="A590:A595"/>
    <mergeCell ref="F989:F994"/>
    <mergeCell ref="B1014:B1019"/>
    <mergeCell ref="G56:G61"/>
    <mergeCell ref="E596:E601"/>
    <mergeCell ref="H482:H487"/>
    <mergeCell ref="G176:G181"/>
    <mergeCell ref="F747:F752"/>
    <mergeCell ref="B1225:B1230"/>
    <mergeCell ref="I1151:I1152"/>
    <mergeCell ref="B885:B890"/>
    <mergeCell ref="A1007:AJ1007"/>
    <mergeCell ref="I1265:I1266"/>
    <mergeCell ref="I510:I511"/>
    <mergeCell ref="F320:F325"/>
    <mergeCell ref="E921:E926"/>
    <mergeCell ref="I504:I505"/>
    <mergeCell ref="F1345:F1350"/>
    <mergeCell ref="E494:E499"/>
    <mergeCell ref="A1219:A1224"/>
    <mergeCell ref="G687:G692"/>
    <mergeCell ref="F620:F625"/>
    <mergeCell ref="I506:I507"/>
    <mergeCell ref="H1111:H1116"/>
    <mergeCell ref="H807:H812"/>
    <mergeCell ref="A1273:A1278"/>
    <mergeCell ref="H350:H355"/>
    <mergeCell ref="A512:A517"/>
    <mergeCell ref="I839:I840"/>
    <mergeCell ref="I78:I79"/>
    <mergeCell ref="C1033:C1038"/>
    <mergeCell ref="C278:C283"/>
    <mergeCell ref="G855:G860"/>
    <mergeCell ref="C1333:C1338"/>
    <mergeCell ref="C578:C583"/>
    <mergeCell ref="G1153:G1158"/>
    <mergeCell ref="A230:A235"/>
    <mergeCell ref="F1375:F1380"/>
    <mergeCell ref="B212:B217"/>
    <mergeCell ref="E1099:E1104"/>
    <mergeCell ref="B206:B211"/>
    <mergeCell ref="B939:B944"/>
    <mergeCell ref="A1291:A1296"/>
    <mergeCell ref="A530:A535"/>
    <mergeCell ref="I104:I105"/>
    <mergeCell ref="F7:F12"/>
    <mergeCell ref="B512:B517"/>
    <mergeCell ref="D699:D704"/>
    <mergeCell ref="I106:I107"/>
    <mergeCell ref="I404:I405"/>
    <mergeCell ref="E1123:E1128"/>
    <mergeCell ref="E368:E373"/>
    <mergeCell ref="E362:E367"/>
    <mergeCell ref="H1159:H1164"/>
    <mergeCell ref="C596:C601"/>
    <mergeCell ref="H819:H824"/>
    <mergeCell ref="H1195:H1200"/>
    <mergeCell ref="I162:I163"/>
    <mergeCell ref="G128:G133"/>
    <mergeCell ref="F31:F36"/>
    <mergeCell ref="I462:I463"/>
    <mergeCell ref="G428:G433"/>
    <mergeCell ref="I35:I36"/>
    <mergeCell ref="D717:D722"/>
    <mergeCell ref="A1014:A1019"/>
    <mergeCell ref="G482:G487"/>
    <mergeCell ref="B356:B361"/>
    <mergeCell ref="F176:F181"/>
    <mergeCell ref="G1051:G1056"/>
    <mergeCell ref="G1087:G1092"/>
    <mergeCell ref="H1177:H1182"/>
    <mergeCell ref="C19:C24"/>
    <mergeCell ref="D927:D932"/>
    <mergeCell ref="I791:I792"/>
    <mergeCell ref="F476:F481"/>
    <mergeCell ref="I150:I151"/>
    <mergeCell ref="C1105:C1110"/>
    <mergeCell ref="F687:F692"/>
    <mergeCell ref="C344:C349"/>
    <mergeCell ref="I1091:I1092"/>
    <mergeCell ref="G813:G818"/>
    <mergeCell ref="G1111:G1116"/>
    <mergeCell ref="B224:B229"/>
    <mergeCell ref="C1405:C1410"/>
    <mergeCell ref="C644:C649"/>
    <mergeCell ref="G464:G469"/>
    <mergeCell ref="H903:H908"/>
    <mergeCell ref="B278:B283"/>
    <mergeCell ref="A1243:A1248"/>
    <mergeCell ref="E735:E740"/>
    <mergeCell ref="I931:I932"/>
    <mergeCell ref="I176:I177"/>
    <mergeCell ref="I170:I171"/>
    <mergeCell ref="B1339:B1344"/>
    <mergeCell ref="B578:B583"/>
    <mergeCell ref="A272:A277"/>
    <mergeCell ref="D771:D776"/>
    <mergeCell ref="D765:D770"/>
    <mergeCell ref="D1069:D1074"/>
    <mergeCell ref="F705:F710"/>
    <mergeCell ref="I933:I934"/>
    <mergeCell ref="I178:I179"/>
    <mergeCell ref="I1231:I1232"/>
    <mergeCell ref="I476:I477"/>
    <mergeCell ref="I172:I173"/>
    <mergeCell ref="A1375:A1380"/>
    <mergeCell ref="D1099:D1104"/>
    <mergeCell ref="D344:D349"/>
    <mergeCell ref="I1233:I1234"/>
    <mergeCell ref="H885:H890"/>
    <mergeCell ref="E7:E12"/>
    <mergeCell ref="B723:B728"/>
    <mergeCell ref="A783:A788"/>
    <mergeCell ref="I837:I838"/>
    <mergeCell ref="H464:H469"/>
    <mergeCell ref="C699:C704"/>
    <mergeCell ref="B296:B301"/>
    <mergeCell ref="F1129:F1134"/>
    <mergeCell ref="I1289:I1290"/>
    <mergeCell ref="G1255:G1260"/>
    <mergeCell ref="B596:B601"/>
    <mergeCell ref="F128:F133"/>
    <mergeCell ref="I100:I101"/>
    <mergeCell ref="E765:E770"/>
    <mergeCell ref="E1063:E1068"/>
    <mergeCell ref="I863:I864"/>
    <mergeCell ref="F428:F433"/>
    <mergeCell ref="I857:I858"/>
    <mergeCell ref="I1161:I1162"/>
    <mergeCell ref="I102:I103"/>
    <mergeCell ref="I400:I401"/>
    <mergeCell ref="C302:C307"/>
    <mergeCell ref="C717:C722"/>
    <mergeCell ref="H194:H199"/>
    <mergeCell ref="F759:F764"/>
    <mergeCell ref="D995:D1000"/>
    <mergeCell ref="F1057:F1062"/>
    <mergeCell ref="F753:F758"/>
    <mergeCell ref="E176:E181"/>
    <mergeCell ref="A356:A361"/>
    <mergeCell ref="I402:I403"/>
    <mergeCell ref="C1363:C1368"/>
    <mergeCell ref="B1051:B1056"/>
    <mergeCell ref="G422:G427"/>
    <mergeCell ref="B19:B24"/>
    <mergeCell ref="E476:E481"/>
    <mergeCell ref="I873:I874"/>
    <mergeCell ref="H1273:H1278"/>
    <mergeCell ref="E783:E788"/>
    <mergeCell ref="F873:F878"/>
    <mergeCell ref="I276:I277"/>
    <mergeCell ref="H1117:H1122"/>
    <mergeCell ref="C13:C18"/>
    <mergeCell ref="I120:I121"/>
    <mergeCell ref="D110:D115"/>
    <mergeCell ref="B1405:B1410"/>
    <mergeCell ref="I278:I279"/>
    <mergeCell ref="B650:B655"/>
    <mergeCell ref="I576:I577"/>
    <mergeCell ref="A338:A343"/>
    <mergeCell ref="I1005:I1006"/>
    <mergeCell ref="I1303:I1304"/>
    <mergeCell ref="I999:I1000"/>
    <mergeCell ref="H116:H121"/>
    <mergeCell ref="I1297:I1298"/>
    <mergeCell ref="D1171:D1176"/>
    <mergeCell ref="E1261:E1266"/>
    <mergeCell ref="G753:G758"/>
    <mergeCell ref="D410:D415"/>
    <mergeCell ref="I578:I579"/>
    <mergeCell ref="H230:H235"/>
    <mergeCell ref="C104:C109"/>
    <mergeCell ref="A1399:A1404"/>
    <mergeCell ref="A128:A133"/>
    <mergeCell ref="I1305:I1306"/>
    <mergeCell ref="H416:H421"/>
    <mergeCell ref="H1291:H1296"/>
    <mergeCell ref="C771:C776"/>
    <mergeCell ref="H530:H535"/>
    <mergeCell ref="D434:D439"/>
    <mergeCell ref="B1387:B1392"/>
    <mergeCell ref="I602:I603"/>
    <mergeCell ref="G1321:G1326"/>
    <mergeCell ref="B668:B673"/>
    <mergeCell ref="E74:E79"/>
    <mergeCell ref="D1039:D1044"/>
    <mergeCell ref="D13:D18"/>
    <mergeCell ref="D7:D12"/>
    <mergeCell ref="E110:E115"/>
    <mergeCell ref="F200:F205"/>
    <mergeCell ref="D1153:D1158"/>
    <mergeCell ref="I262:I263"/>
    <mergeCell ref="I927:I928"/>
    <mergeCell ref="I202:I203"/>
    <mergeCell ref="F1255:F1260"/>
    <mergeCell ref="F500:F505"/>
    <mergeCell ref="I929:I930"/>
    <mergeCell ref="I174:I175"/>
    <mergeCell ref="F494:F499"/>
    <mergeCell ref="I1227:I1228"/>
    <mergeCell ref="I472:I473"/>
    <mergeCell ref="I168:I169"/>
    <mergeCell ref="F37:F42"/>
    <mergeCell ref="C789:C794"/>
    <mergeCell ref="I502:I503"/>
    <mergeCell ref="C326:C331"/>
    <mergeCell ref="H260:H265"/>
    <mergeCell ref="F825:F830"/>
    <mergeCell ref="I1229:I1230"/>
    <mergeCell ref="G1249:G1254"/>
    <mergeCell ref="E92:E97"/>
    <mergeCell ref="C1387:C1392"/>
    <mergeCell ref="H1321:H1326"/>
    <mergeCell ref="H1225:H1230"/>
    <mergeCell ref="F68:F73"/>
    <mergeCell ref="E759:E764"/>
    <mergeCell ref="B1363:B1368"/>
    <mergeCell ref="A1057:A1062"/>
    <mergeCell ref="I1069:I1070"/>
    <mergeCell ref="A753:A758"/>
    <mergeCell ref="A1051:A1056"/>
    <mergeCell ref="I1245:I1246"/>
    <mergeCell ref="I528:I529"/>
    <mergeCell ref="A296:A301"/>
    <mergeCell ref="I1403:I1404"/>
    <mergeCell ref="G62:G67"/>
    <mergeCell ref="I642:I643"/>
    <mergeCell ref="D1087:D1092"/>
    <mergeCell ref="B989:B994"/>
    <mergeCell ref="H188:H193"/>
    <mergeCell ref="I1369:I1370"/>
    <mergeCell ref="E873:E878"/>
    <mergeCell ref="C56:C61"/>
    <mergeCell ref="A596:A601"/>
    <mergeCell ref="D482:D487"/>
    <mergeCell ref="H915:H920"/>
    <mergeCell ref="B747:B752"/>
    <mergeCell ref="H1249:H1254"/>
    <mergeCell ref="H945:H950"/>
    <mergeCell ref="H1243:H1248"/>
    <mergeCell ref="H488:H493"/>
    <mergeCell ref="A650:A655"/>
    <mergeCell ref="A686:AJ686"/>
    <mergeCell ref="H602:H607"/>
    <mergeCell ref="C837:C842"/>
    <mergeCell ref="E777:E782"/>
    <mergeCell ref="A1255:A1260"/>
    <mergeCell ref="B1345:B1350"/>
    <mergeCell ref="C410:C415"/>
    <mergeCell ref="B620:B625"/>
    <mergeCell ref="B104:B109"/>
    <mergeCell ref="D1111:D1116"/>
    <mergeCell ref="D807:D812"/>
    <mergeCell ref="F266:F271"/>
    <mergeCell ref="B771:B776"/>
    <mergeCell ref="I670:I671"/>
    <mergeCell ref="G530:G535"/>
    <mergeCell ref="B404:B409"/>
    <mergeCell ref="E903:E908"/>
    <mergeCell ref="G965:G970"/>
    <mergeCell ref="A368:A373"/>
    <mergeCell ref="E1201:E1206"/>
    <mergeCell ref="E1237:E1242"/>
    <mergeCell ref="F1327:F1332"/>
    <mergeCell ref="F572:F577"/>
    <mergeCell ref="F566:F571"/>
    <mergeCell ref="A983:A988"/>
    <mergeCell ref="I1299:I1300"/>
    <mergeCell ref="C741:C746"/>
    <mergeCell ref="A668:A673"/>
    <mergeCell ref="C1039:C1044"/>
    <mergeCell ref="I242:I243"/>
    <mergeCell ref="E200:E205"/>
    <mergeCell ref="C1153:C1158"/>
    <mergeCell ref="H1087:H1092"/>
    <mergeCell ref="G662:G667"/>
    <mergeCell ref="I1003:I1004"/>
    <mergeCell ref="D837:D842"/>
    <mergeCell ref="I1301:I1302"/>
    <mergeCell ref="D1135:D1140"/>
    <mergeCell ref="I244:I245"/>
    <mergeCell ref="I542:I543"/>
    <mergeCell ref="E500:E505"/>
    <mergeCell ref="E158:E163"/>
    <mergeCell ref="G266:G271"/>
    <mergeCell ref="G260:G265"/>
    <mergeCell ref="E825:E830"/>
    <mergeCell ref="I899:I900"/>
    <mergeCell ref="A1123:A1128"/>
    <mergeCell ref="I600:I601"/>
    <mergeCell ref="D92:D97"/>
    <mergeCell ref="G566:G571"/>
    <mergeCell ref="I1327:I1328"/>
    <mergeCell ref="I689:I690"/>
    <mergeCell ref="D819:D824"/>
    <mergeCell ref="D1195:D1200"/>
    <mergeCell ref="D855:D860"/>
    <mergeCell ref="H254:H259"/>
    <mergeCell ref="I1022:I1023"/>
    <mergeCell ref="G891:G896"/>
    <mergeCell ref="I1329:I1330"/>
    <mergeCell ref="G1189:G1194"/>
    <mergeCell ref="I1014:I1015"/>
    <mergeCell ref="B31:B36"/>
    <mergeCell ref="H1315:H1320"/>
    <mergeCell ref="H560:H565"/>
    <mergeCell ref="I1024:I1025"/>
    <mergeCell ref="H554:H559"/>
    <mergeCell ref="B62:B67"/>
    <mergeCell ref="B56:B61"/>
    <mergeCell ref="C482:C487"/>
    <mergeCell ref="B176:B181"/>
    <mergeCell ref="G488:G493"/>
    <mergeCell ref="B362:B367"/>
    <mergeCell ref="E861:E866"/>
    <mergeCell ref="G602:G607"/>
    <mergeCell ref="B476:B481"/>
    <mergeCell ref="A1345:A1350"/>
    <mergeCell ref="B687:B692"/>
    <mergeCell ref="A626:A631"/>
    <mergeCell ref="I735:I736"/>
    <mergeCell ref="A104:A109"/>
    <mergeCell ref="F1393:F1398"/>
    <mergeCell ref="I911:I912"/>
    <mergeCell ref="I771:I772"/>
    <mergeCell ref="C1111:C1116"/>
    <mergeCell ref="I308:I309"/>
    <mergeCell ref="C350:C355"/>
    <mergeCell ref="A404:A409"/>
    <mergeCell ref="D903:D908"/>
    <mergeCell ref="F965:F970"/>
    <mergeCell ref="I1071:I1072"/>
    <mergeCell ref="H723:H728"/>
    <mergeCell ref="E116:E121"/>
    <mergeCell ref="I310:I311"/>
    <mergeCell ref="E1327:E1332"/>
    <mergeCell ref="E572:E577"/>
    <mergeCell ref="D19:D24"/>
    <mergeCell ref="G1057:G1062"/>
    <mergeCell ref="I1371:I1372"/>
    <mergeCell ref="F206:F211"/>
    <mergeCell ref="E416:E421"/>
    <mergeCell ref="G332:G337"/>
    <mergeCell ref="B110:B115"/>
    <mergeCell ref="I666:I667"/>
    <mergeCell ref="G1393:G1398"/>
    <mergeCell ref="D158:D163"/>
    <mergeCell ref="I326:I327"/>
    <mergeCell ref="G632:G637"/>
    <mergeCell ref="I755:I756"/>
    <mergeCell ref="E140:E145"/>
    <mergeCell ref="A7:A12"/>
    <mergeCell ref="I1053:I1054"/>
    <mergeCell ref="I21:I22"/>
    <mergeCell ref="D1219:D1224"/>
    <mergeCell ref="D464:D469"/>
    <mergeCell ref="I238:I239"/>
    <mergeCell ref="I757:I758"/>
    <mergeCell ref="E584:E589"/>
    <mergeCell ref="H1381:H1386"/>
    <mergeCell ref="F224:F229"/>
    <mergeCell ref="I240:I241"/>
    <mergeCell ref="I538:I539"/>
    <mergeCell ref="C1195:C1200"/>
    <mergeCell ref="I967:I968"/>
    <mergeCell ref="B128:B133"/>
    <mergeCell ref="F891:F896"/>
    <mergeCell ref="A765:A770"/>
    <mergeCell ref="A1063:A1068"/>
    <mergeCell ref="B1189:B1194"/>
    <mergeCell ref="G560:G565"/>
    <mergeCell ref="B428:B433"/>
    <mergeCell ref="E1225:E1230"/>
    <mergeCell ref="G983:G988"/>
    <mergeCell ref="E885:E890"/>
    <mergeCell ref="A62:A67"/>
    <mergeCell ref="B759:B764"/>
    <mergeCell ref="B482:B487"/>
    <mergeCell ref="B1057:B1062"/>
    <mergeCell ref="B753:B758"/>
    <mergeCell ref="A176:A181"/>
    <mergeCell ref="I1135:I1136"/>
    <mergeCell ref="I380:I381"/>
    <mergeCell ref="I258:I259"/>
    <mergeCell ref="C1177:C1182"/>
    <mergeCell ref="A362:A367"/>
    <mergeCell ref="A476:A481"/>
    <mergeCell ref="I224:I225"/>
    <mergeCell ref="D1273:D1278"/>
    <mergeCell ref="I1137:I1138"/>
    <mergeCell ref="I382:I383"/>
    <mergeCell ref="I680:I681"/>
    <mergeCell ref="A687:A692"/>
    <mergeCell ref="D548:D553"/>
    <mergeCell ref="H368:H373"/>
    <mergeCell ref="E638:E643"/>
    <mergeCell ref="D1117:D1122"/>
    <mergeCell ref="C242:C247"/>
    <mergeCell ref="B813:B818"/>
    <mergeCell ref="B1111:B1116"/>
    <mergeCell ref="E1243:E1248"/>
    <mergeCell ref="G1001:G1006"/>
    <mergeCell ref="I682:I683"/>
    <mergeCell ref="G1159:G1164"/>
    <mergeCell ref="H983:H988"/>
    <mergeCell ref="H668:H673"/>
    <mergeCell ref="D116:D121"/>
    <mergeCell ref="C753:C758"/>
    <mergeCell ref="D572:D577"/>
    <mergeCell ref="D843:D848"/>
    <mergeCell ref="D230:D235"/>
    <mergeCell ref="E212:E217"/>
    <mergeCell ref="D1177:D1182"/>
    <mergeCell ref="B1237:B1242"/>
    <mergeCell ref="D416:D421"/>
    <mergeCell ref="G873:G878"/>
    <mergeCell ref="D530:D535"/>
    <mergeCell ref="I304:I305"/>
    <mergeCell ref="F182:F187"/>
    <mergeCell ref="H62:H67"/>
    <mergeCell ref="I733:I734"/>
    <mergeCell ref="F602:F607"/>
    <mergeCell ref="G699:G704"/>
    <mergeCell ref="F638:F643"/>
    <mergeCell ref="I1067:I1068"/>
    <mergeCell ref="F632:F637"/>
    <mergeCell ref="I306:I307"/>
    <mergeCell ref="H362:H367"/>
    <mergeCell ref="B200:B205"/>
    <mergeCell ref="C464:C469"/>
    <mergeCell ref="H398:H403"/>
    <mergeCell ref="F1261:F1266"/>
    <mergeCell ref="I1367:I1368"/>
    <mergeCell ref="C290:C295"/>
    <mergeCell ref="B1255:B1260"/>
    <mergeCell ref="G626:G631"/>
    <mergeCell ref="B500:B505"/>
    <mergeCell ref="E224:E229"/>
    <mergeCell ref="B494:B499"/>
    <mergeCell ref="I751:I752"/>
    <mergeCell ref="G717:G722"/>
    <mergeCell ref="A891:A896"/>
    <mergeCell ref="I148:I149"/>
    <mergeCell ref="A434:A439"/>
    <mergeCell ref="I446:I447"/>
    <mergeCell ref="A428:A433"/>
    <mergeCell ref="I1095:I1096"/>
    <mergeCell ref="I753:I754"/>
    <mergeCell ref="G200:G205"/>
    <mergeCell ref="I1051:I1052"/>
    <mergeCell ref="D1225:D1230"/>
    <mergeCell ref="D885:D890"/>
    <mergeCell ref="I1349:I1350"/>
    <mergeCell ref="I19:I20"/>
    <mergeCell ref="B68:B73"/>
    <mergeCell ref="I1209:I1210"/>
    <mergeCell ref="I448:I449"/>
    <mergeCell ref="C194:C199"/>
    <mergeCell ref="A759:A764"/>
    <mergeCell ref="B422:B427"/>
    <mergeCell ref="C494:C499"/>
    <mergeCell ref="I777:I778"/>
    <mergeCell ref="D188:D193"/>
    <mergeCell ref="A873:A878"/>
    <mergeCell ref="I350:I351"/>
    <mergeCell ref="G43:G48"/>
    <mergeCell ref="I508:I509"/>
    <mergeCell ref="I779:I780"/>
    <mergeCell ref="B242:B247"/>
    <mergeCell ref="I1077:I1078"/>
    <mergeCell ref="D1249:D1254"/>
    <mergeCell ref="D945:D950"/>
    <mergeCell ref="E278:E283"/>
    <mergeCell ref="D1243:D1248"/>
    <mergeCell ref="D488:D493"/>
    <mergeCell ref="I474:I475"/>
    <mergeCell ref="I352:I353"/>
    <mergeCell ref="B542:B547"/>
    <mergeCell ref="I1079:I1080"/>
    <mergeCell ref="I53:I54"/>
    <mergeCell ref="I47:I48"/>
    <mergeCell ref="E1339:E1344"/>
    <mergeCell ref="F248:F253"/>
    <mergeCell ref="I1133:I1134"/>
    <mergeCell ref="I676:I677"/>
    <mergeCell ref="F1309:F1314"/>
    <mergeCell ref="H1189:H1194"/>
    <mergeCell ref="C416:C421"/>
    <mergeCell ref="C1291:C1296"/>
    <mergeCell ref="D56:D61"/>
    <mergeCell ref="C530:C535"/>
    <mergeCell ref="E723:E728"/>
    <mergeCell ref="H7:H12"/>
    <mergeCell ref="I678:I679"/>
    <mergeCell ref="E182:E187"/>
    <mergeCell ref="B1327:B1332"/>
    <mergeCell ref="E296:E301"/>
    <mergeCell ref="E909:E914"/>
    <mergeCell ref="I492:I493"/>
    <mergeCell ref="G368:G373"/>
    <mergeCell ref="A200:A205"/>
    <mergeCell ref="A1261:A1266"/>
    <mergeCell ref="G668:G673"/>
    <mergeCell ref="A500:A505"/>
    <mergeCell ref="H1207:H1212"/>
    <mergeCell ref="I406:I407"/>
    <mergeCell ref="I66:I67"/>
    <mergeCell ref="H392:H397"/>
    <mergeCell ref="H25:H30"/>
    <mergeCell ref="C266:C271"/>
    <mergeCell ref="C260:C265"/>
    <mergeCell ref="G1327:G1332"/>
    <mergeCell ref="F717:F722"/>
    <mergeCell ref="C1321:C1326"/>
    <mergeCell ref="I691:I692"/>
    <mergeCell ref="C891:C896"/>
    <mergeCell ref="G1020:G1025"/>
    <mergeCell ref="D1315:D1320"/>
    <mergeCell ref="F13:F18"/>
    <mergeCell ref="C188:C193"/>
    <mergeCell ref="F1075:F1080"/>
    <mergeCell ref="E650:E655"/>
    <mergeCell ref="D260:D265"/>
    <mergeCell ref="B825:B830"/>
    <mergeCell ref="C915:C920"/>
    <mergeCell ref="B1123:B1128"/>
    <mergeCell ref="I288:I289"/>
    <mergeCell ref="C1249:C1254"/>
    <mergeCell ref="C488:C493"/>
    <mergeCell ref="I717:I718"/>
    <mergeCell ref="E37:E42"/>
    <mergeCell ref="C602:C607"/>
    <mergeCell ref="H536:H541"/>
    <mergeCell ref="E254:E259"/>
    <mergeCell ref="I719:I720"/>
    <mergeCell ref="E248:E253"/>
    <mergeCell ref="F771:F776"/>
    <mergeCell ref="H705:H710"/>
    <mergeCell ref="C1375:C1380"/>
    <mergeCell ref="F344:F349"/>
    <mergeCell ref="E1309:E1314"/>
    <mergeCell ref="G434:G439"/>
    <mergeCell ref="I775:I776"/>
    <mergeCell ref="G470:G475"/>
    <mergeCell ref="G741:G746"/>
    <mergeCell ref="G1039:G1044"/>
    <mergeCell ref="G13:G18"/>
    <mergeCell ref="D723:D728"/>
    <mergeCell ref="G7:G12"/>
    <mergeCell ref="B965:B970"/>
    <mergeCell ref="I130:I131"/>
    <mergeCell ref="G314:G319"/>
    <mergeCell ref="A1327:A1332"/>
    <mergeCell ref="A572:A577"/>
    <mergeCell ref="I1075:I1076"/>
    <mergeCell ref="D909:D914"/>
    <mergeCell ref="D296:D301"/>
    <mergeCell ref="I43:I44"/>
    <mergeCell ref="I893:I894"/>
    <mergeCell ref="I132:I133"/>
    <mergeCell ref="I430:I431"/>
    <mergeCell ref="F62:F67"/>
    <mergeCell ref="C332:C337"/>
    <mergeCell ref="I51:I52"/>
    <mergeCell ref="D596:D601"/>
    <mergeCell ref="F789:F794"/>
    <mergeCell ref="I895:I896"/>
    <mergeCell ref="I1193:I1194"/>
    <mergeCell ref="C1393:C1398"/>
    <mergeCell ref="C632:C637"/>
    <mergeCell ref="A140:A145"/>
    <mergeCell ref="B230:B235"/>
    <mergeCell ref="B266:B271"/>
    <mergeCell ref="G25:G30"/>
    <mergeCell ref="I488:I489"/>
    <mergeCell ref="E302:E307"/>
    <mergeCell ref="A584:A589"/>
    <mergeCell ref="I490:I491"/>
    <mergeCell ref="B566:B571"/>
    <mergeCell ref="E1363:E1368"/>
    <mergeCell ref="H332:H337"/>
    <mergeCell ref="I823:I824"/>
    <mergeCell ref="H146:H151"/>
    <mergeCell ref="B891:B896"/>
    <mergeCell ref="I817:I818"/>
    <mergeCell ref="I62:I63"/>
    <mergeCell ref="I56:I57"/>
    <mergeCell ref="G783:G788"/>
    <mergeCell ref="C1315:C1320"/>
    <mergeCell ref="I214:I215"/>
    <mergeCell ref="I789:I790"/>
    <mergeCell ref="C560:C565"/>
    <mergeCell ref="C554:C559"/>
    <mergeCell ref="A158:A163"/>
    <mergeCell ref="I941:I942"/>
    <mergeCell ref="I186:I187"/>
    <mergeCell ref="A885:A890"/>
    <mergeCell ref="I1117:I1118"/>
    <mergeCell ref="E320:E325"/>
    <mergeCell ref="H777:H782"/>
    <mergeCell ref="E1381:E1386"/>
    <mergeCell ref="G80:G85"/>
    <mergeCell ref="E620:E625"/>
    <mergeCell ref="D37:D42"/>
    <mergeCell ref="B602:B607"/>
    <mergeCell ref="I843:I844"/>
    <mergeCell ref="G536:G541"/>
    <mergeCell ref="H1231:H1236"/>
    <mergeCell ref="D368:D373"/>
    <mergeCell ref="I845:I846"/>
    <mergeCell ref="I1143:I1144"/>
    <mergeCell ref="I965:I966"/>
    <mergeCell ref="I204:I205"/>
    <mergeCell ref="I1257:I1258"/>
    <mergeCell ref="C1159:C1164"/>
    <mergeCell ref="D983:D988"/>
    <mergeCell ref="F741:F746"/>
    <mergeCell ref="D668:D673"/>
    <mergeCell ref="F1039:F1044"/>
    <mergeCell ref="A965:A970"/>
    <mergeCell ref="I206:I207"/>
    <mergeCell ref="H200:H205"/>
    <mergeCell ref="F314:F319"/>
    <mergeCell ref="G837:G842"/>
    <mergeCell ref="E43:E48"/>
    <mergeCell ref="A212:A217"/>
    <mergeCell ref="H1255:H1260"/>
    <mergeCell ref="H500:H505"/>
    <mergeCell ref="B1093:B1098"/>
    <mergeCell ref="B332:B337"/>
    <mergeCell ref="E789:E794"/>
    <mergeCell ref="A1267:A1272"/>
    <mergeCell ref="B1357:B1362"/>
    <mergeCell ref="B1393:B1398"/>
    <mergeCell ref="B638:B643"/>
    <mergeCell ref="B632:B637"/>
    <mergeCell ref="H861:H866"/>
    <mergeCell ref="I558:I559"/>
    <mergeCell ref="D1123:D1128"/>
    <mergeCell ref="G92:G97"/>
    <mergeCell ref="D398:D403"/>
    <mergeCell ref="I889:I890"/>
    <mergeCell ref="G1195:G1200"/>
    <mergeCell ref="I128:I129"/>
    <mergeCell ref="A224:A229"/>
    <mergeCell ref="I891:I892"/>
    <mergeCell ref="H518:H523"/>
    <mergeCell ref="D1363:D1368"/>
    <mergeCell ref="I1189:I1190"/>
    <mergeCell ref="I428:I429"/>
    <mergeCell ref="C296:C301"/>
    <mergeCell ref="E1147:E1152"/>
    <mergeCell ref="I586:I587"/>
    <mergeCell ref="H729:H734"/>
    <mergeCell ref="I1313:I1314"/>
    <mergeCell ref="E56:E61"/>
    <mergeCell ref="B560:B565"/>
    <mergeCell ref="C200:C205"/>
    <mergeCell ref="I915:I916"/>
    <mergeCell ref="I154:I155"/>
    <mergeCell ref="D320:D325"/>
    <mergeCell ref="I917:I918"/>
    <mergeCell ref="I25:I26"/>
    <mergeCell ref="I1215:I1216"/>
    <mergeCell ref="I156:I157"/>
    <mergeCell ref="I454:I455"/>
    <mergeCell ref="F86:F91"/>
    <mergeCell ref="E687:E692"/>
    <mergeCell ref="D626:D631"/>
    <mergeCell ref="I612:I613"/>
    <mergeCell ref="D620:D625"/>
    <mergeCell ref="F813:F818"/>
    <mergeCell ref="F1111:F1116"/>
    <mergeCell ref="I1217:I1218"/>
    <mergeCell ref="E260:E265"/>
    <mergeCell ref="F386:F391"/>
    <mergeCell ref="C43:C48"/>
    <mergeCell ref="H302:H307"/>
    <mergeCell ref="A278:A283"/>
    <mergeCell ref="G49:G54"/>
    <mergeCell ref="H1327:H1332"/>
    <mergeCell ref="H572:H577"/>
    <mergeCell ref="H566:H571"/>
    <mergeCell ref="E747:E752"/>
    <mergeCell ref="C983:C988"/>
    <mergeCell ref="E741:E746"/>
    <mergeCell ref="A1339:A1344"/>
    <mergeCell ref="I1057:I1058"/>
    <mergeCell ref="D164:D169"/>
    <mergeCell ref="I630:I631"/>
    <mergeCell ref="I1357:I1358"/>
    <mergeCell ref="I841:I842"/>
    <mergeCell ref="B873:B878"/>
    <mergeCell ref="G807:G812"/>
    <mergeCell ref="A182:A187"/>
    <mergeCell ref="C98:C103"/>
    <mergeCell ref="A638:A643"/>
    <mergeCell ref="A909:A914"/>
    <mergeCell ref="I1141:I1142"/>
    <mergeCell ref="A1207:A1212"/>
    <mergeCell ref="H1345:H1350"/>
    <mergeCell ref="C825:C830"/>
    <mergeCell ref="H584:H589"/>
    <mergeCell ref="C1123:C1128"/>
    <mergeCell ref="C1001:C1006"/>
    <mergeCell ref="C368:C373"/>
    <mergeCell ref="C398:C403"/>
    <mergeCell ref="F1195:F1200"/>
    <mergeCell ref="E128:E133"/>
    <mergeCell ref="C668:C673"/>
    <mergeCell ref="I226:I227"/>
    <mergeCell ref="H158:H163"/>
    <mergeCell ref="E428:E433"/>
    <mergeCell ref="D25:D30"/>
    <mergeCell ref="F554:F559"/>
    <mergeCell ref="C1327:C1332"/>
    <mergeCell ref="I983:I984"/>
    <mergeCell ref="B717:B722"/>
    <mergeCell ref="I1281:I1282"/>
    <mergeCell ref="I526:I527"/>
    <mergeCell ref="E1087:E1092"/>
    <mergeCell ref="F1177:F1182"/>
    <mergeCell ref="I1283:I1284"/>
    <mergeCell ref="A19:A24"/>
    <mergeCell ref="G861:G866"/>
    <mergeCell ref="F1213:F1218"/>
    <mergeCell ref="F452:F457"/>
    <mergeCell ref="E146:E151"/>
    <mergeCell ref="I855:I856"/>
    <mergeCell ref="E813:E818"/>
    <mergeCell ref="E1111:E1116"/>
    <mergeCell ref="G116:G121"/>
    <mergeCell ref="G572:G577"/>
    <mergeCell ref="I913:I914"/>
    <mergeCell ref="A37:A42"/>
    <mergeCell ref="I1211:I1212"/>
    <mergeCell ref="G879:G884"/>
    <mergeCell ref="G1177:G1182"/>
    <mergeCell ref="G416:G421"/>
    <mergeCell ref="A254:A259"/>
    <mergeCell ref="A248:A253"/>
    <mergeCell ref="H1297:H1302"/>
    <mergeCell ref="I1213:I1214"/>
    <mergeCell ref="I697:I698"/>
    <mergeCell ref="D705:D710"/>
    <mergeCell ref="B1105:B1110"/>
    <mergeCell ref="H656:H661"/>
    <mergeCell ref="B344:B349"/>
    <mergeCell ref="A1309:A1314"/>
    <mergeCell ref="I270:I271"/>
    <mergeCell ref="I568:I569"/>
    <mergeCell ref="C1225:C1230"/>
    <mergeCell ref="C470:C475"/>
    <mergeCell ref="I699:I700"/>
    <mergeCell ref="I997:I998"/>
    <mergeCell ref="C7:C12"/>
    <mergeCell ref="F927:F932"/>
    <mergeCell ref="C314:C319"/>
    <mergeCell ref="G134:G139"/>
    <mergeCell ref="I570:I571"/>
    <mergeCell ref="B368:B373"/>
    <mergeCell ref="E1255:E1260"/>
    <mergeCell ref="I626:I627"/>
    <mergeCell ref="I1055:I1056"/>
    <mergeCell ref="I1353:I1354"/>
    <mergeCell ref="B248:B253"/>
    <mergeCell ref="D128:D133"/>
    <mergeCell ref="D428:D433"/>
    <mergeCell ref="C25:C30"/>
    <mergeCell ref="A723:A728"/>
    <mergeCell ref="A717:A722"/>
    <mergeCell ref="H1351:H1356"/>
    <mergeCell ref="F194:F199"/>
    <mergeCell ref="C176:C181"/>
    <mergeCell ref="I166:I167"/>
    <mergeCell ref="A1363:A1368"/>
    <mergeCell ref="E422:E427"/>
    <mergeCell ref="F861:F866"/>
    <mergeCell ref="E458:E463"/>
    <mergeCell ref="D146:D151"/>
    <mergeCell ref="G188:G193"/>
    <mergeCell ref="C783:C788"/>
    <mergeCell ref="G182:G187"/>
    <mergeCell ref="D873:D878"/>
    <mergeCell ref="G218:G223"/>
    <mergeCell ref="D1207:D1212"/>
    <mergeCell ref="G945:G950"/>
    <mergeCell ref="G1243:G1248"/>
    <mergeCell ref="A1075:A1080"/>
    <mergeCell ref="I334:I335"/>
    <mergeCell ref="I947:I948"/>
    <mergeCell ref="H608:H613"/>
    <mergeCell ref="F116:F121"/>
    <mergeCell ref="I222:I223"/>
    <mergeCell ref="A1381:A1386"/>
    <mergeCell ref="I342:I343"/>
    <mergeCell ref="I949:I950"/>
    <mergeCell ref="F879:F884"/>
    <mergeCell ref="C536:C541"/>
    <mergeCell ref="C705:C710"/>
    <mergeCell ref="H182:H187"/>
    <mergeCell ref="G656:G661"/>
    <mergeCell ref="I853:I854"/>
    <mergeCell ref="B530:B535"/>
    <mergeCell ref="H638:H643"/>
    <mergeCell ref="H909:H914"/>
    <mergeCell ref="B470:B475"/>
    <mergeCell ref="B741:B746"/>
    <mergeCell ref="B1039:B1044"/>
    <mergeCell ref="B13:B18"/>
    <mergeCell ref="C110:C115"/>
    <mergeCell ref="B1075:B1080"/>
    <mergeCell ref="D200:D205"/>
    <mergeCell ref="C1165:C1170"/>
    <mergeCell ref="I64:I65"/>
    <mergeCell ref="B314:B319"/>
    <mergeCell ref="F134:F139"/>
    <mergeCell ref="I362:I363"/>
    <mergeCell ref="I660:I661"/>
    <mergeCell ref="D1261:D1266"/>
    <mergeCell ref="G230:G235"/>
    <mergeCell ref="D1255:D1260"/>
    <mergeCell ref="D500:D505"/>
    <mergeCell ref="D536:D541"/>
    <mergeCell ref="E626:E631"/>
    <mergeCell ref="A789:A794"/>
    <mergeCell ref="I266:I267"/>
    <mergeCell ref="I564:I565"/>
    <mergeCell ref="I695:I696"/>
    <mergeCell ref="F260:F265"/>
    <mergeCell ref="I993:I994"/>
    <mergeCell ref="E951:E956"/>
    <mergeCell ref="I268:I269"/>
    <mergeCell ref="E1249:E1254"/>
    <mergeCell ref="I566:I567"/>
    <mergeCell ref="C434:C439"/>
    <mergeCell ref="C92:C97"/>
    <mergeCell ref="F1321:F1326"/>
    <mergeCell ref="E1285:E1290"/>
    <mergeCell ref="B25:B30"/>
    <mergeCell ref="I1337:I1338"/>
    <mergeCell ref="I995:I996"/>
    <mergeCell ref="I1293:I1294"/>
    <mergeCell ref="E194:E199"/>
    <mergeCell ref="D518:D523"/>
    <mergeCell ref="I1020:I1021"/>
    <mergeCell ref="I292:I293"/>
    <mergeCell ref="G1315:G1320"/>
    <mergeCell ref="G1309:G1314"/>
    <mergeCell ref="I721:I722"/>
    <mergeCell ref="F188:F193"/>
    <mergeCell ref="I294:I295"/>
    <mergeCell ref="C873:C878"/>
    <mergeCell ref="I592:I593"/>
    <mergeCell ref="A56:A61"/>
    <mergeCell ref="B182:B187"/>
    <mergeCell ref="I1319:I1320"/>
    <mergeCell ref="F951:F956"/>
    <mergeCell ref="F1249:F1254"/>
    <mergeCell ref="I1355:I1356"/>
    <mergeCell ref="F945:F950"/>
    <mergeCell ref="F1243:F1248"/>
    <mergeCell ref="F488:F493"/>
    <mergeCell ref="I594:I595"/>
    <mergeCell ref="A1117:A1122"/>
    <mergeCell ref="H37:H42"/>
    <mergeCell ref="I1321:I1322"/>
    <mergeCell ref="H711:H716"/>
    <mergeCell ref="H248:H253"/>
    <mergeCell ref="H1309:H1314"/>
    <mergeCell ref="B1141:B1146"/>
    <mergeCell ref="I136:I137"/>
    <mergeCell ref="B386:B391"/>
    <mergeCell ref="I434:I435"/>
    <mergeCell ref="I610:I611"/>
    <mergeCell ref="D302:D307"/>
    <mergeCell ref="E965:E970"/>
    <mergeCell ref="I1039:I1040"/>
    <mergeCell ref="I7:I8"/>
    <mergeCell ref="C49:C54"/>
    <mergeCell ref="D1327:D1332"/>
    <mergeCell ref="I1191:I1192"/>
    <mergeCell ref="I436:I437"/>
    <mergeCell ref="A747:A752"/>
    <mergeCell ref="A741:A746"/>
    <mergeCell ref="I218:I219"/>
    <mergeCell ref="A1039:A1044"/>
    <mergeCell ref="H422:H427"/>
    <mergeCell ref="I1093:I1094"/>
    <mergeCell ref="F1093:F1098"/>
    <mergeCell ref="I945:I946"/>
    <mergeCell ref="F1087:F1092"/>
    <mergeCell ref="I1059:I1060"/>
    <mergeCell ref="I1393:I1394"/>
    <mergeCell ref="C1261:C1266"/>
    <mergeCell ref="C80:C85"/>
    <mergeCell ref="C807:C812"/>
    <mergeCell ref="D284:D289"/>
    <mergeCell ref="E266:E271"/>
    <mergeCell ref="D1345:D1350"/>
    <mergeCell ref="D584:D589"/>
    <mergeCell ref="I1119:I1120"/>
    <mergeCell ref="B92:B97"/>
    <mergeCell ref="E1321:E1326"/>
    <mergeCell ref="E566:E571"/>
    <mergeCell ref="I1085:I1086"/>
    <mergeCell ref="H1363:H1368"/>
    <mergeCell ref="B1195:B1200"/>
    <mergeCell ref="I1121:I1122"/>
    <mergeCell ref="I366:I367"/>
    <mergeCell ref="B855:B860"/>
    <mergeCell ref="B1153:B1158"/>
    <mergeCell ref="I664:I665"/>
    <mergeCell ref="I360:I361"/>
    <mergeCell ref="I658:I659"/>
    <mergeCell ref="F290:F295"/>
    <mergeCell ref="C518:C523"/>
    <mergeCell ref="F1315:F1320"/>
    <mergeCell ref="F560:F565"/>
    <mergeCell ref="E705:E710"/>
    <mergeCell ref="A1189:A1194"/>
    <mergeCell ref="F590:F595"/>
    <mergeCell ref="E1039:E1044"/>
    <mergeCell ref="B1309:B1314"/>
    <mergeCell ref="H1081:H1086"/>
    <mergeCell ref="E188:E193"/>
    <mergeCell ref="H1075:H1080"/>
    <mergeCell ref="H320:H325"/>
    <mergeCell ref="I376:I377"/>
    <mergeCell ref="I805:I806"/>
    <mergeCell ref="I1103:I1104"/>
    <mergeCell ref="C861:C866"/>
    <mergeCell ref="H620:H625"/>
    <mergeCell ref="I1261:I1262"/>
    <mergeCell ref="E795:E800"/>
    <mergeCell ref="G37:G42"/>
    <mergeCell ref="G254:G259"/>
    <mergeCell ref="A602:A607"/>
    <mergeCell ref="G248:G253"/>
    <mergeCell ref="A86:A91"/>
    <mergeCell ref="I1263:I1264"/>
    <mergeCell ref="A813:A818"/>
    <mergeCell ref="A1111:A1116"/>
    <mergeCell ref="F1045:F1050"/>
    <mergeCell ref="G554:G559"/>
    <mergeCell ref="A386:A391"/>
    <mergeCell ref="H680:H685"/>
    <mergeCell ref="I1351:I1352"/>
    <mergeCell ref="I835:I836"/>
    <mergeCell ref="H674:H679"/>
    <mergeCell ref="I829:I830"/>
    <mergeCell ref="I74:I75"/>
    <mergeCell ref="B49:B54"/>
    <mergeCell ref="C572:C577"/>
    <mergeCell ref="I1317:I1318"/>
    <mergeCell ref="C879:C884"/>
    <mergeCell ref="I76:I77"/>
    <mergeCell ref="G693:G698"/>
    <mergeCell ref="E1093:E1098"/>
    <mergeCell ref="E332:E337"/>
    <mergeCell ref="G272:G277"/>
    <mergeCell ref="D1297:D1302"/>
    <mergeCell ref="D542:D547"/>
    <mergeCell ref="G98:G103"/>
    <mergeCell ref="E1393:E1398"/>
    <mergeCell ref="E632:E637"/>
    <mergeCell ref="B807:B812"/>
    <mergeCell ref="B350:B355"/>
    <mergeCell ref="I432:I433"/>
    <mergeCell ref="D266:D271"/>
    <mergeCell ref="I92:I93"/>
    <mergeCell ref="I705:I706"/>
    <mergeCell ref="G398:G403"/>
    <mergeCell ref="B464:B469"/>
    <mergeCell ref="C1345:C1350"/>
    <mergeCell ref="I819:I820"/>
    <mergeCell ref="B37:B42"/>
    <mergeCell ref="E236:E241"/>
    <mergeCell ref="D566:D571"/>
    <mergeCell ref="I1030:I1031"/>
    <mergeCell ref="H693:H698"/>
    <mergeCell ref="E350:E355"/>
    <mergeCell ref="A1195:A1200"/>
    <mergeCell ref="H849:H854"/>
    <mergeCell ref="H1147:H1152"/>
    <mergeCell ref="F332:F337"/>
    <mergeCell ref="I761:I762"/>
    <mergeCell ref="E1315:E1320"/>
    <mergeCell ref="E560:E565"/>
    <mergeCell ref="C158:C163"/>
    <mergeCell ref="Y4:Y5"/>
    <mergeCell ref="G747:G752"/>
    <mergeCell ref="A554:A559"/>
    <mergeCell ref="G1081:G1086"/>
    <mergeCell ref="D1351:D1356"/>
    <mergeCell ref="G320:G325"/>
    <mergeCell ref="B194:B199"/>
    <mergeCell ref="H446:H451"/>
    <mergeCell ref="G1381:G1386"/>
    <mergeCell ref="B861:B866"/>
    <mergeCell ref="G620:G625"/>
    <mergeCell ref="A1213:A1218"/>
    <mergeCell ref="I787:I788"/>
    <mergeCell ref="I743:I744"/>
    <mergeCell ref="C638:C643"/>
    <mergeCell ref="I1087:I1088"/>
    <mergeCell ref="I17:I18"/>
    <mergeCell ref="E1045:E1050"/>
    <mergeCell ref="C1243:C1248"/>
    <mergeCell ref="E1001:E1006"/>
    <mergeCell ref="H747:H752"/>
    <mergeCell ref="F983:F988"/>
    <mergeCell ref="H741:H746"/>
    <mergeCell ref="B116:B121"/>
    <mergeCell ref="I769:I770"/>
    <mergeCell ref="G1399:G1404"/>
    <mergeCell ref="B879:B884"/>
    <mergeCell ref="B1177:B1182"/>
    <mergeCell ref="C1303:C1308"/>
    <mergeCell ref="D182:D187"/>
    <mergeCell ref="C656:C661"/>
    <mergeCell ref="F98:F103"/>
    <mergeCell ref="D1393:D1398"/>
    <mergeCell ref="D638:D643"/>
    <mergeCell ref="I45:I46"/>
    <mergeCell ref="E1033:E1038"/>
    <mergeCell ref="F1001:F1006"/>
    <mergeCell ref="A927:A932"/>
    <mergeCell ref="F1159:F1164"/>
    <mergeCell ref="B134:B139"/>
    <mergeCell ref="F398:F403"/>
    <mergeCell ref="E608:E613"/>
    <mergeCell ref="I1131:I1132"/>
    <mergeCell ref="I72:I73"/>
    <mergeCell ref="C116:C121"/>
    <mergeCell ref="C230:C235"/>
    <mergeCell ref="H164:H169"/>
    <mergeCell ref="I184:I185"/>
    <mergeCell ref="G1147:G1152"/>
    <mergeCell ref="G392:G397"/>
    <mergeCell ref="I96:I97"/>
    <mergeCell ref="D656:D661"/>
    <mergeCell ref="F843:F848"/>
    <mergeCell ref="B1321:B1326"/>
    <mergeCell ref="I1157:I1158"/>
    <mergeCell ref="I98:I99"/>
    <mergeCell ref="I809:I810"/>
    <mergeCell ref="F416:F421"/>
    <mergeCell ref="I1149:I1150"/>
    <mergeCell ref="I703:I704"/>
    <mergeCell ref="A194:A199"/>
    <mergeCell ref="I861:I862"/>
    <mergeCell ref="I1159:I1160"/>
    <mergeCell ref="I1115:I1116"/>
    <mergeCell ref="I398:I399"/>
    <mergeCell ref="H86:H91"/>
    <mergeCell ref="E356:E361"/>
    <mergeCell ref="F626:F631"/>
    <mergeCell ref="A494:A499"/>
    <mergeCell ref="H813:H818"/>
    <mergeCell ref="B188:B193"/>
    <mergeCell ref="H386:H391"/>
    <mergeCell ref="B218:B223"/>
    <mergeCell ref="B951:B956"/>
    <mergeCell ref="B1249:B1254"/>
    <mergeCell ref="B945:B950"/>
    <mergeCell ref="I871:I872"/>
    <mergeCell ref="I116:I117"/>
    <mergeCell ref="B1243:B1248"/>
    <mergeCell ref="I1169:I1170"/>
    <mergeCell ref="I414:I415"/>
    <mergeCell ref="B488:B493"/>
    <mergeCell ref="B524:B529"/>
    <mergeCell ref="I572:I573"/>
    <mergeCell ref="C614:C619"/>
    <mergeCell ref="D711:D716"/>
    <mergeCell ref="I1177:I1178"/>
    <mergeCell ref="I118:I119"/>
    <mergeCell ref="D248:D253"/>
    <mergeCell ref="I416:I417"/>
    <mergeCell ref="I574:I575"/>
    <mergeCell ref="G705:G710"/>
    <mergeCell ref="E374:E379"/>
    <mergeCell ref="H831:H836"/>
    <mergeCell ref="D1309:D1314"/>
    <mergeCell ref="I1083:I1084"/>
    <mergeCell ref="F1225:F1230"/>
    <mergeCell ref="F470:F475"/>
    <mergeCell ref="H404:H409"/>
    <mergeCell ref="E674:E679"/>
    <mergeCell ref="I1197:I1198"/>
    <mergeCell ref="C182:C187"/>
    <mergeCell ref="F43:F48"/>
    <mergeCell ref="D308:D313"/>
    <mergeCell ref="C945:C950"/>
    <mergeCell ref="D422:D427"/>
    <mergeCell ref="D608:D613"/>
    <mergeCell ref="I801:I802"/>
    <mergeCell ref="I556:I557"/>
    <mergeCell ref="F795:F800"/>
    <mergeCell ref="I767:I768"/>
    <mergeCell ref="G164:G169"/>
    <mergeCell ref="F1207:F1212"/>
    <mergeCell ref="I925:I926"/>
    <mergeCell ref="I1223:I1224"/>
    <mergeCell ref="I1101:I1102"/>
    <mergeCell ref="I164:I165"/>
    <mergeCell ref="F392:F397"/>
    <mergeCell ref="I498:I499"/>
    <mergeCell ref="F25:F30"/>
    <mergeCell ref="A260:A265"/>
    <mergeCell ref="A266:A271"/>
    <mergeCell ref="I41:I42"/>
    <mergeCell ref="I1225:I1226"/>
    <mergeCell ref="I470:I471"/>
    <mergeCell ref="I885:I886"/>
    <mergeCell ref="E843:E848"/>
    <mergeCell ref="A1321:A1326"/>
    <mergeCell ref="A566:A571"/>
    <mergeCell ref="H879:H884"/>
    <mergeCell ref="H1213:H1218"/>
    <mergeCell ref="H458:H463"/>
    <mergeCell ref="C1087:C1092"/>
    <mergeCell ref="H452:H457"/>
    <mergeCell ref="G146:G151"/>
    <mergeCell ref="I943:I944"/>
    <mergeCell ref="B1315:B1320"/>
    <mergeCell ref="I182:I183"/>
    <mergeCell ref="G909:G914"/>
    <mergeCell ref="I480:I481"/>
    <mergeCell ref="G1207:G1212"/>
    <mergeCell ref="I638:I639"/>
    <mergeCell ref="D1081:D1086"/>
    <mergeCell ref="A188:A193"/>
    <mergeCell ref="F122:F127"/>
    <mergeCell ref="D1075:D1080"/>
    <mergeCell ref="I1365:I1366"/>
    <mergeCell ref="I1243:I1244"/>
    <mergeCell ref="B260:B265"/>
    <mergeCell ref="M4:M5"/>
    <mergeCell ref="I1401:I1402"/>
    <mergeCell ref="I640:I641"/>
    <mergeCell ref="A951:A956"/>
    <mergeCell ref="A1249:A1254"/>
    <mergeCell ref="F1183:F1188"/>
    <mergeCell ref="H897:H902"/>
    <mergeCell ref="I394:I395"/>
    <mergeCell ref="F536:F541"/>
    <mergeCell ref="C711:C716"/>
    <mergeCell ref="I212:I213"/>
    <mergeCell ref="C254:C259"/>
    <mergeCell ref="F1141:F1146"/>
    <mergeCell ref="C248:C253"/>
    <mergeCell ref="F1020:F1025"/>
    <mergeCell ref="G831:G836"/>
    <mergeCell ref="C1309:C1314"/>
    <mergeCell ref="I656:I657"/>
    <mergeCell ref="I1269:I1270"/>
    <mergeCell ref="I210:I211"/>
    <mergeCell ref="B705:B710"/>
    <mergeCell ref="E470:E475"/>
    <mergeCell ref="D680:D685"/>
    <mergeCell ref="E13:E18"/>
    <mergeCell ref="D674:D679"/>
    <mergeCell ref="E1075:E1080"/>
    <mergeCell ref="F1165:F1170"/>
    <mergeCell ref="E314:E319"/>
    <mergeCell ref="C693:C698"/>
    <mergeCell ref="G1261:G1266"/>
    <mergeCell ref="A1093:A1098"/>
    <mergeCell ref="I1325:I1326"/>
    <mergeCell ref="I82:I83"/>
    <mergeCell ref="H626:H631"/>
    <mergeCell ref="I196:I197"/>
    <mergeCell ref="E915:E920"/>
    <mergeCell ref="G1045:G1050"/>
    <mergeCell ref="A1393:A1398"/>
    <mergeCell ref="E488:E493"/>
    <mergeCell ref="A849:A854"/>
    <mergeCell ref="AE4:AE5"/>
    <mergeCell ref="H1285:H1290"/>
    <mergeCell ref="E25:E30"/>
    <mergeCell ref="C723:C728"/>
    <mergeCell ref="A392:A397"/>
    <mergeCell ref="A656:A661"/>
    <mergeCell ref="G518:G523"/>
    <mergeCell ref="D693:D698"/>
    <mergeCell ref="A350:A355"/>
    <mergeCell ref="I1315:I1316"/>
    <mergeCell ref="I598:I599"/>
    <mergeCell ref="G729:G734"/>
    <mergeCell ref="I1309:I1310"/>
    <mergeCell ref="G458:G463"/>
    <mergeCell ref="B1087:B1092"/>
    <mergeCell ref="F146:F151"/>
    <mergeCell ref="H855:H860"/>
    <mergeCell ref="I1010:I1011"/>
    <mergeCell ref="C452:C457"/>
    <mergeCell ref="A1315:A1320"/>
    <mergeCell ref="A560:A565"/>
    <mergeCell ref="F909:F914"/>
    <mergeCell ref="I881:I882"/>
    <mergeCell ref="I1012:I1013"/>
    <mergeCell ref="C1081:C1086"/>
    <mergeCell ref="C320:C325"/>
    <mergeCell ref="C356:C361"/>
    <mergeCell ref="F777:F782"/>
    <mergeCell ref="I883:I884"/>
    <mergeCell ref="D446:D451"/>
    <mergeCell ref="I1181:I1182"/>
    <mergeCell ref="E86:E91"/>
    <mergeCell ref="C1381:C1386"/>
    <mergeCell ref="E80:E85"/>
    <mergeCell ref="C620:C625"/>
    <mergeCell ref="B254:B259"/>
    <mergeCell ref="E1141:E1146"/>
    <mergeCell ref="E386:E391"/>
    <mergeCell ref="G302:G307"/>
    <mergeCell ref="F506:F511"/>
    <mergeCell ref="A1045:A1050"/>
    <mergeCell ref="F49:F54"/>
    <mergeCell ref="A705:A710"/>
    <mergeCell ref="B554:B559"/>
    <mergeCell ref="A1159:A1164"/>
    <mergeCell ref="D747:D752"/>
    <mergeCell ref="I636:I637"/>
    <mergeCell ref="B983:B988"/>
    <mergeCell ref="D741:D746"/>
    <mergeCell ref="C680:C685"/>
    <mergeCell ref="I909:I910"/>
    <mergeCell ref="I1207:I1208"/>
    <mergeCell ref="E867:E872"/>
    <mergeCell ref="E1165:E1170"/>
    <mergeCell ref="D314:D319"/>
    <mergeCell ref="H1026:H1031"/>
    <mergeCell ref="H134:H139"/>
    <mergeCell ref="E440:E445"/>
    <mergeCell ref="H1237:H1242"/>
    <mergeCell ref="F80:F85"/>
    <mergeCell ref="G170:G175"/>
    <mergeCell ref="B272:B277"/>
    <mergeCell ref="F807:F812"/>
    <mergeCell ref="H266:H271"/>
    <mergeCell ref="G1231:G1236"/>
    <mergeCell ref="D915:D920"/>
    <mergeCell ref="B98:B103"/>
    <mergeCell ref="I322:I323"/>
    <mergeCell ref="I1267:I1268"/>
    <mergeCell ref="B1001:B1006"/>
    <mergeCell ref="B1159:B1164"/>
    <mergeCell ref="G524:G529"/>
    <mergeCell ref="B398:B403"/>
    <mergeCell ref="I962:I963"/>
    <mergeCell ref="I324:I325"/>
    <mergeCell ref="I622:I623"/>
    <mergeCell ref="E1195:E1200"/>
    <mergeCell ref="I833:I834"/>
    <mergeCell ref="F518:F523"/>
    <mergeCell ref="I192:I193"/>
    <mergeCell ref="C849:C854"/>
    <mergeCell ref="C1147:C1152"/>
    <mergeCell ref="F735:F740"/>
    <mergeCell ref="A332:A337"/>
    <mergeCell ref="I80:I81"/>
    <mergeCell ref="H284:H289"/>
    <mergeCell ref="I536:I537"/>
    <mergeCell ref="I194:I195"/>
    <mergeCell ref="C62:C67"/>
    <mergeCell ref="A632:A637"/>
    <mergeCell ref="H951:H956"/>
    <mergeCell ref="B416:B421"/>
    <mergeCell ref="B1081:B1086"/>
    <mergeCell ref="E1213:E1218"/>
    <mergeCell ref="G971:G976"/>
    <mergeCell ref="G1279:G1284"/>
    <mergeCell ref="D86:D91"/>
    <mergeCell ref="B1381:B1386"/>
    <mergeCell ref="I254:I255"/>
    <mergeCell ref="B626:B631"/>
    <mergeCell ref="A777:A782"/>
    <mergeCell ref="I248:I249"/>
    <mergeCell ref="D813:D818"/>
    <mergeCell ref="I981:I982"/>
    <mergeCell ref="I975:I976"/>
    <mergeCell ref="I220:I221"/>
    <mergeCell ref="D849:D854"/>
    <mergeCell ref="E939:E944"/>
    <mergeCell ref="D1147:D1152"/>
    <mergeCell ref="D1141:D1146"/>
    <mergeCell ref="D386:D391"/>
    <mergeCell ref="I554:I555"/>
    <mergeCell ref="F302:F307"/>
    <mergeCell ref="I520:I521"/>
    <mergeCell ref="E49:E54"/>
    <mergeCell ref="C747:C752"/>
    <mergeCell ref="I693:I694"/>
    <mergeCell ref="H1093:H1098"/>
    <mergeCell ref="H971:H976"/>
    <mergeCell ref="G1303:G1308"/>
    <mergeCell ref="G1297:G1302"/>
    <mergeCell ref="D560:D565"/>
    <mergeCell ref="D831:D836"/>
    <mergeCell ref="H1393:H1398"/>
    <mergeCell ref="I396:I397"/>
    <mergeCell ref="E807:E812"/>
    <mergeCell ref="I390:I391"/>
    <mergeCell ref="F897:F902"/>
    <mergeCell ref="F933:F938"/>
    <mergeCell ref="B43:B48"/>
    <mergeCell ref="F1231:F1236"/>
    <mergeCell ref="I905:I906"/>
    <mergeCell ref="I1203:I1204"/>
    <mergeCell ref="I144:I145"/>
    <mergeCell ref="A825:A830"/>
    <mergeCell ref="F584:F589"/>
    <mergeCell ref="I302:I303"/>
    <mergeCell ref="A1001:A1006"/>
    <mergeCell ref="A861:A866"/>
    <mergeCell ref="H236:H241"/>
    <mergeCell ref="I907:I908"/>
    <mergeCell ref="A398:A403"/>
    <mergeCell ref="I1205:I1206"/>
    <mergeCell ref="G927:G932"/>
    <mergeCell ref="I1363:I1364"/>
    <mergeCell ref="C164:C169"/>
    <mergeCell ref="D254:D259"/>
    <mergeCell ref="E518:E523"/>
    <mergeCell ref="C1189:C1194"/>
    <mergeCell ref="I318:I319"/>
    <mergeCell ref="E983:E988"/>
    <mergeCell ref="G284:G289"/>
    <mergeCell ref="D554:D559"/>
    <mergeCell ref="I747:I748"/>
    <mergeCell ref="A116:A121"/>
    <mergeCell ref="A843:A848"/>
    <mergeCell ref="I320:I321"/>
    <mergeCell ref="I618:I619"/>
    <mergeCell ref="I749:I750"/>
    <mergeCell ref="G584:G589"/>
    <mergeCell ref="I1047:I1048"/>
    <mergeCell ref="A416:A421"/>
    <mergeCell ref="I1345:I1346"/>
    <mergeCell ref="I15:I16"/>
    <mergeCell ref="F977:F982"/>
    <mergeCell ref="H735:H740"/>
    <mergeCell ref="D1213:D1218"/>
    <mergeCell ref="D458:D463"/>
    <mergeCell ref="I1381:I1382"/>
    <mergeCell ref="I444:I445"/>
    <mergeCell ref="G795:G800"/>
    <mergeCell ref="I620:I621"/>
    <mergeCell ref="I1049:I1050"/>
    <mergeCell ref="I1347:I1348"/>
    <mergeCell ref="C86:C91"/>
    <mergeCell ref="I1383:I1384"/>
    <mergeCell ref="F218:F223"/>
    <mergeCell ref="C909:C914"/>
    <mergeCell ref="C1207:C1212"/>
    <mergeCell ref="C813:C818"/>
    <mergeCell ref="H1045:H1050"/>
    <mergeCell ref="B122:B127"/>
    <mergeCell ref="C392:C397"/>
    <mergeCell ref="C386:C391"/>
    <mergeCell ref="I346:I347"/>
    <mergeCell ref="D783:D788"/>
    <mergeCell ref="I460:I461"/>
    <mergeCell ref="B1183:B1188"/>
    <mergeCell ref="E152:E157"/>
    <mergeCell ref="B843:B848"/>
    <mergeCell ref="I1407:I1408"/>
    <mergeCell ref="I1065:I1066"/>
    <mergeCell ref="I348:I349"/>
    <mergeCell ref="I33:I34"/>
    <mergeCell ref="I646:I647"/>
    <mergeCell ref="F242:F247"/>
    <mergeCell ref="E879:E884"/>
    <mergeCell ref="E1177:E1182"/>
    <mergeCell ref="G1093:G1098"/>
    <mergeCell ref="F1303:F1308"/>
    <mergeCell ref="E452:E457"/>
    <mergeCell ref="I977:I978"/>
    <mergeCell ref="I648:I649"/>
    <mergeCell ref="F542:F547"/>
    <mergeCell ref="B1020:B1025"/>
    <mergeCell ref="C831:C836"/>
    <mergeCell ref="H1063:H1068"/>
    <mergeCell ref="H308:H313"/>
    <mergeCell ref="I979:I980"/>
    <mergeCell ref="A470:A475"/>
    <mergeCell ref="I1277:I1278"/>
    <mergeCell ref="A13:A18"/>
    <mergeCell ref="I1271:I1272"/>
    <mergeCell ref="A43:A48"/>
    <mergeCell ref="A314:A319"/>
    <mergeCell ref="E134:E139"/>
    <mergeCell ref="E897:E902"/>
    <mergeCell ref="G777:G782"/>
    <mergeCell ref="G236:G241"/>
    <mergeCell ref="H662:H667"/>
    <mergeCell ref="D1381:D1386"/>
    <mergeCell ref="G350:G355"/>
    <mergeCell ref="A801:A806"/>
    <mergeCell ref="A915:A920"/>
    <mergeCell ref="I1147:I1148"/>
    <mergeCell ref="I392:I393"/>
    <mergeCell ref="C1045:C1050"/>
    <mergeCell ref="A488:A493"/>
    <mergeCell ref="D1285:D1290"/>
    <mergeCell ref="A25:A30"/>
    <mergeCell ref="G867:G872"/>
    <mergeCell ref="A674:A679"/>
    <mergeCell ref="D194:D199"/>
    <mergeCell ref="C458:C463"/>
    <mergeCell ref="I418:I419"/>
    <mergeCell ref="B146:B151"/>
    <mergeCell ref="F915:F920"/>
    <mergeCell ref="B795:B800"/>
    <mergeCell ref="I260:I261"/>
    <mergeCell ref="E218:E223"/>
    <mergeCell ref="B909:B914"/>
    <mergeCell ref="B1207:B1212"/>
    <mergeCell ref="E945:E950"/>
    <mergeCell ref="E1279:E1284"/>
    <mergeCell ref="F1369:F1374"/>
    <mergeCell ref="I1018:I1019"/>
    <mergeCell ref="G711:G716"/>
    <mergeCell ref="F644:F649"/>
    <mergeCell ref="A1183:A1188"/>
    <mergeCell ref="I713:I714"/>
    <mergeCell ref="D879:D884"/>
    <mergeCell ref="A536:A541"/>
    <mergeCell ref="I286:I287"/>
    <mergeCell ref="A1141:A1146"/>
    <mergeCell ref="E1303:E1308"/>
    <mergeCell ref="I715:I716"/>
    <mergeCell ref="C146:C151"/>
    <mergeCell ref="E542:E547"/>
    <mergeCell ref="A55:AJ55"/>
    <mergeCell ref="G735:G740"/>
    <mergeCell ref="C1213:C1218"/>
    <mergeCell ref="E971:E976"/>
    <mergeCell ref="E656:E661"/>
    <mergeCell ref="H1008:H1013"/>
    <mergeCell ref="G1069:G1074"/>
    <mergeCell ref="H98:H103"/>
    <mergeCell ref="G308:G313"/>
    <mergeCell ref="H1001:H1006"/>
    <mergeCell ref="A867:A872"/>
    <mergeCell ref="I344:I345"/>
    <mergeCell ref="A1165:A1170"/>
    <mergeCell ref="G1369:G1374"/>
    <mergeCell ref="D1026:D1031"/>
    <mergeCell ref="D134:D139"/>
    <mergeCell ref="G608:G613"/>
    <mergeCell ref="A440:A445"/>
    <mergeCell ref="I731:I732"/>
    <mergeCell ref="I1405:I1406"/>
    <mergeCell ref="D897:D902"/>
    <mergeCell ref="B1261:B1266"/>
    <mergeCell ref="B80:B85"/>
    <mergeCell ref="A957:AJ957"/>
    <mergeCell ref="I644:I645"/>
    <mergeCell ref="I426:I427"/>
    <mergeCell ref="B536:B541"/>
    <mergeCell ref="C626:C631"/>
    <mergeCell ref="C1231:C1236"/>
    <mergeCell ref="E989:E994"/>
    <mergeCell ref="E392:E397"/>
  </mergeCells>
  <conditionalFormatting sqref="G4:H4">
    <cfRule type="expression" priority="1326" dxfId="9106">
      <formula>AND(ISNUMBER(TIMEVALUE(LEFT(G4,FIND("(",G4&amp;"(")-1))),ISNUMBER(TIMEVALUE(LEFT(#REF!,FIND("(",#REF!&amp;"(")-1))),IF(TIMEVALUE(LEFT(G4,FIND("(",G4&amp;"(")-1))&lt;=TIME(3,59,59),TIMEVALUE(LEFT(G4,FIND("(",G4&amp;"(")-1))+1,TIMEVALUE(LEFT(G4,FIND("(",G4&amp;"(")-1)))+30/1440&lt;IF(TIMEVALUE(LEFT(#REF!,FIND("(",#REF!&amp;"(")-1))&lt;=TIME(3,59,59),TIMEVALUE(LEFT(#REF!,FIND("(",#REF!&amp;"(")-1))+1,TIMEVALUE(LEFT(#REF!,FIND("(",#REF!&amp;"(")-1))))</formula>
    </cfRule>
    <cfRule type="expression" priority="1327" dxfId="9104">
      <formula>IF(AND(ISNUMBER(TIMEVALUE(LEFT(G4,FIND("(",G4&amp;"(")-1))),ISNUMBER(TIMEVALUE(LEFT(#REF!,FIND("(",#REF!&amp;"(")-1)))),IF(TIMEVALUE(LEFT(G4,FIND("(",G4&amp;"(")-1))&lt;=TIME(3,59,59),TIMEVALUE(LEFT(G4,FIND("(",G4&amp;"(")-1))+1,TIMEVALUE(LEFT(G4,FIND("(",G4&amp;"(")-1)))&gt;IF(TIMEVALUE(LEFT(#REF!,FIND("(",#REF!&amp;"(")-1))&lt;=TIME(3,59,59),TIMEVALUE(LEFT(#REF!,FIND("(",#REF!&amp;"(")-1))+1,TIMEVALUE(LEFT(#REF!,FIND("(",#REF!&amp;"(")-1))),FALSE)</formula>
    </cfRule>
    <cfRule type="expression" priority="1328" dxfId="9104">
      <formula>AND(G4&lt;&gt;"--:--",#REF!&lt;&gt;"--:--",ABS(TIMEVALUE(G4)-TIMEVALUE(#REF!))*1440&lt;30)</formula>
    </cfRule>
    <cfRule type="containsText" priority="1329" operator="containsText" dxfId="9103" text="早退">
      <formula>NOT(ISERROR(SEARCH("早退",G4)))</formula>
    </cfRule>
    <cfRule type="containsText" priority="1330" operator="containsText" dxfId="9102" text="迟到">
      <formula>NOT(ISERROR(SEARCH("迟到",G4)))</formula>
    </cfRule>
    <cfRule type="containsText" priority="1331" operator="containsText" dxfId="9100" text="缺勤">
      <formula>NOT(ISERROR(SEARCH("缺勤",G4)))</formula>
    </cfRule>
    <cfRule type="containsText" priority="1332" operator="containsText" dxfId="9100" text="旷工">
      <formula>NOT(ISERROR(SEARCH("旷工",G4)))</formula>
    </cfRule>
    <cfRule type="containsText" priority="1333" operator="containsText" dxfId="9099" text="冲销">
      <formula>NOT(ISERROR(SEARCH("冲销",G4)))</formula>
    </cfRule>
    <cfRule type="containsText" priority="1334" operator="containsText" dxfId="9098" text="异常打卡">
      <formula>NOT(ISERROR(SEARCH("异常打卡",G4)))</formula>
    </cfRule>
    <cfRule type="containsText" priority="1335" operator="containsText" dxfId="9097" text="正常打卡">
      <formula>NOT(ISERROR(SEARCH("正常打卡",G4)))</formula>
    </cfRule>
  </conditionalFormatting>
  <conditionalFormatting sqref="F5">
    <cfRule type="expression" priority="1325" dxfId="9065">
      <formula>F5&lt;F4</formula>
    </cfRule>
  </conditionalFormatting>
  <conditionalFormatting sqref="J7:L7 J13:L13 J19:L19 J25:L25 J31:L31 J37:L37 J43:L43 J49:L49 J56:L56 J62:L62 J68:L68 J74:L74 J80:L80 J86:L86 J92:L92 J98:L98 J104:L104 J110:L110 J116:L116 J122:L122 J128:L128 J134:L134 J140:L140 J146:L146 J152:L152 J158:L158 J164:L164 J170:L170 J176:L176 J182:L182 J188:L188 J194:L194 J200:L200 J206:L206 J212:L212 J218:L218 J224:L224 J230:L230 J236:L236 J242:L242 J248:L248 J254:L254 J260:L260 J266:L266 J272:L272 J278:L278 J284:L284 J290:L290 J296:L296 J302:L302 J308:L308 J314:L314 J320:L320 J326:L326 J332:L332 J338:L338 J344:L344 J350:L350 J356:L356 J362:L362 J368:L368 J374:L374 J380:L380 J386:L386 J392:L392 J398:L398 J404:L404 J410:L410 J416:L416 J422:L422 J428:L428 J434:L434 J440:L440 J446:L446 J452:L452 J458:L458 J464:L464 J470:L470 J476:L476 J482:L482 J488:L488 J494:L494 J500:L500 J506:L506 J512:L512 J518:L518 J524:L524 J530:L530 J536:L536 J542:L542 J548:L548 J554:L554 J560:L560 J566:L566 J572:L572 J578:L578 J584:L584 J590:L590 J596:L596 J602:L602 J608:L608 J614:L614 J620:L620 J626:L626 J632:L632 J638:L638 J644:L644 J650:L650 J656:L656 J662:L662 J668:L668 J674:L674 J680:L680 J687:L687 J693:L693 J699:L699 J705:L705 J711:L711 J717:L717 J723:L723 J729:L729 J735:L735 J741:L741 J747:L747 J753:L753 J759:L759 J765:L765 J771:L771 J777:L777 J783:L783 J789:L789 J795:L795 J801:L801 J807:L807 J813:L813 J819:L819 J825:L825 J831:L831 J837:L837 J843:L843 J849:L849 J855:L855 J861:L861 J867:L867 J873:L873 J879:L879 J885:L885 J891:L891 J897:L897 J903:L903 J909:L909 J915:L915 J921:L921 J927:L927 J933:L933 J939:L939 J945:L945 J951:L951 J958:L958 J965:L965 J971:L971 J977:L977 J983:L983 J989:L989 J995:L995 J1001:L1001 J1008:L1008 J1014:L1014 J1020:L1020 J1026:L1026 J1033:L1033 J1039:L1039 J1045:L1045 J1051:L1051 J1057:L1057 J1063:L1063 J1069:L1069 J1075:L1075 J1081:L1081 J1087:L1087 J1093:L1093 J1099:L1099 J1105:L1105 J1111:L1111 J1117:L1117 J1123:L1123 J1129:L1129 J1135:L1135 J1141:L1141 J1147:L1147 J1153:L1153 J1159:L1159 J1165:L1165 J1171:L1171 J1177:L1177 J1183:L1183 J1189:L1189 J1195:L1195 J1201:L1201 J1207:L1207 J1213:L1213 J1219:L1219 J1225:L1225 J1231:L1231 J1237:L1237 J1243:L1243 J1249:L1249 J1255:L1255 J1261:L1261 J1267:L1267 J1273:L1273 J1279:L1279 J1285:L1285 J1291:L1291 J1297:L1297 J1303:L1303 J1309:L1309 J1315:L1315 J1321:L1321 J1327:L1327 J1333:L1333 J1339:L1339 J1345:L1345 J1351:L1351 J1357:L1357 J1363:L1363 J1369:L1369 J1375:L1375 J1381:L1381 J1387:L1387 J1393:L1393 J1399:L1399 J1405:L1405 T7:X7 T13:X13 T19:X19 T25:X25 T31:X31 T37:X37 T43:X43 T49:X49 T56:X56 T62:X62 T68:X68 T74:X74 T80:X80 T86:X86 T92:X92 T98:X98 T104:X104 T110:X110 T116:X116 T122:X122 T128:X128 T134:X134 T140:X140 T146:X146 T152:X152 T158:X158 T164:X164 T170:X170 T176:X176 T182:X182 T188:X188 T194:X194 T200:X200 T206:X206 T212:X212 T218:X218 T224:X224 T230:X230 T236:X236 T242:X242 T248:X248 T254:X254 T260:X260 T266:X266 T272:X272 T278:X278 T284:X284 T290:X290 T296:X296 T302:X302 T308:X308 T314:X314 T320:X320 T326:X326 T332:X332 T338:X338 T344:X344 T350:X350 T356:X356 T362:X362 T368:X368 T374:X374 T380:X380 T386:X386 T392:X392 T398:X398 T404:X404 T410:X410 T416:X416 T422:X422 T428:X428 T434:X434 T440:X440 T446:X446 T452:X452 T458:X458 T464:X464 T470:X470 T476:X476 T482:X482 T488:X488 T494:X494 T500:X500 T506:X506 T512:X512 T518:X518 T524:X524 T530:X530 T536:X536 T542:X542 T548:X548 T554:X554 T560:X560 T566:X566 T572:X572 T578:X578 T584:X584 T590:X590 T596:X596 T602:X602 T608:X608 T614:X614 T620:X620 T626:X626 T632:X632 T638:X638 T644:X644 T650:X650 T656:X656 T662:X662 T668:X668 T674:X674 T680:X680 T687:X687 T693:X693 T699:X699 T705:X705 T711:X711 T717:X717 T723:X723 T729:X729 T735:X735 T741:X741 T747:X747 T753:X753 T759:X759 T765:X765 T771:X771 T777:X777 T783:X783 T789:X789 T795:X795 T801:X801 T807:X807 T813:X813 T819:X819 T825:X825 T831:X831 T837:X837 T843:X843 T849:X849 T855:X855 T861:X861 T867:X867 T873:X873 T879:X879 T885:X885 T891:X891 T897:X897 T903:X903 T909:X909 T915:X915 T921:X921 T927:X927 T933:X933 T939:X939 T945:X945 T951:X951 T958:X958 T965:X965 T971:X971 T977:X977 T983:X983 T989:X989 T995:X995 T1001:X1001 T1008:X1008 T1014:X1014 T1020:X1020 T1026:X1026 T1033:X1033 T1039:X1039 T1045:X1045 T1051:X1051 T1057:X1057 T1063:X1063 T1069:X1069 T1075:X1075 T1081:X1081 T1087:X1087 T1093:X1093 T1099:X1099 T1105:X1105 T1111:X1111 T1117:X1117 T1123:X1123 T1129:X1129 T1135:X1135 T1141:X1141 T1147:X1147 T1153:X1153 T1159:X1159 T1165:X1165 T1171:X1171 T1177:X1177 T1183:X1183 T1189:X1189 T1195:X1195 T1201:X1201 T1207:X1207 T1213:X1213 T1219:X1219 T1225:X1225 T1231:X1231 T1237:X1237 T1243:X1243 T1249:X1249 T1255:X1255 T1261:X1261 T1267:X1267 T1273:X1273 T1279:X1279 T1285:X1285 T1291:X1291 T1297:X1297 T1303:X1303 T1309:X1309 T1315:X1315 T1321:X1321 T1327:X1327 T1333:X1333 T1339:X1339 T1345:X1345 T1351:X1351 T1357:X1357 T1363:X1363 T1369:X1369 T1375:X1375 T1381:X1381 T1387:X1387 T1393:X1393 T1399:X1399 T1405:X1405">
    <cfRule type="expression" priority="1204" dxfId="4514">
      <formula>AND(ISNUMBER(TIMEVALUE(LEFT(J7,FIND("(",J7&amp;"(")-1))),ISNUMBER(TIMEVALUE(LEFT(J9,FIND("(",J9&amp;"(")-1))),IF(TIMEVALUE(LEFT(J7,FIND("(",J7&amp;"(")-1))&lt;=TIME(3,59,59),TIMEVALUE(LEFT(J7,FIND("(",J7&amp;"(")-1))+1,TIMEVALUE(LEFT(J7,FIND("(",J7&amp;"(")-1)))+60/1440&lt;IF(TIMEVALUE(LEFT(J9,FIND("(",J9&amp;"(")-1))&lt;=TIME(3,59,59),TIMEVALUE(LEFT(J9,FIND("(",J9&amp;"(")-1))+1,TIMEVALUE(LEFT(J9,FIND("(",J9&amp;"(")-1))))</formula>
    </cfRule>
  </conditionalFormatting>
  <conditionalFormatting sqref="N7:R7">
    <cfRule type="expression" priority="1199" dxfId="4514">
      <formula>AND(ISNUMBER(TIMEVALUE(LEFT(N7,FIND("(",N7&amp;"(")-1))),ISNUMBER(TIMEVALUE(LEFT(N9,FIND("(",N9&amp;"(")-1))),IF(TIMEVALUE(LEFT(N7,FIND("(",N7&amp;"(")-1))&lt;=TIME(3,59,59),TIMEVALUE(LEFT(N7,FIND("(",N7&amp;"(")-1))+1,TIMEVALUE(LEFT(N7,FIND("(",N7&amp;"(")-1)))+60/1440&lt;IF(TIMEVALUE(LEFT(N9,FIND("(",N9&amp;"(")-1))&lt;=TIME(3,59,59),TIMEVALUE(LEFT(N9,FIND("(",N9&amp;"(")-1))+1,TIMEVALUE(LEFT(N9,FIND("(",N9&amp;"(")-1))))</formula>
    </cfRule>
  </conditionalFormatting>
  <conditionalFormatting sqref="Z7:AD7">
    <cfRule type="expression" priority="1193" dxfId="4514">
      <formula>AND(ISNUMBER(TIMEVALUE(LEFT(Z7,FIND("(",Z7&amp;"(")-1))),ISNUMBER(TIMEVALUE(LEFT(Z9,FIND("(",Z9&amp;"(")-1))),IF(TIMEVALUE(LEFT(Z7,FIND("(",Z7&amp;"(")-1))&lt;=TIME(3,59,59),TIMEVALUE(LEFT(Z7,FIND("(",Z7&amp;"(")-1))+1,TIMEVALUE(LEFT(Z7,FIND("(",Z7&amp;"(")-1)))+60/1440&lt;IF(TIMEVALUE(LEFT(Z9,FIND("(",Z9&amp;"(")-1))&lt;=TIME(3,59,59),TIMEVALUE(LEFT(Z9,FIND("(",Z9&amp;"(")-1))+1,TIMEVALUE(LEFT(Z9,FIND("(",Z9&amp;"(")-1))))</formula>
    </cfRule>
  </conditionalFormatting>
  <conditionalFormatting sqref="J8:L8 J14:L14 J20:L20 J26:L26 J32:L32 J38:L38 J44:L44 J50:L50 J57:L57 J63:L63 J69:L69 J75:L75 J81:L81 J87:L87 J93:L93 J99:L99 J105:L105 J111:L111 J117:L117 J123:L123 J129:L129 J135:L135 J141:L141 J147:L147 J153:L153 J159:L159 J165:L165 J171:L171 J177:L177 J183:L183 J189:L189 J195:L195 J201:L201 J207:L207 J213:L213 J219:L219 J225:L225 J231:L231 J237:L237 J243:L243 J249:L249 J255:L255 J261:L261 J267:L267 J273:L273 J279:L279 J285:L285 J291:L291 J297:L297 J303:L303 J309:L309 J315:L315 J321:L321 J327:L327 J333:L333 J339:L339 J345:L345 J351:L351 J357:L357 J363:L363 J369:L369 J375:L375 J381:L381 J387:L387 J393:L393 J399:L399 J405:L405 J411:L411 J417:L417 J423:L423 J429:L429 J435:L435 J441:L441 J447:L447 J453:L453 J459:L459 J465:L465 J471:L471 J477:L477 J483:L483 J489:L489 J495:L495 J501:L501 J507:L507 J513:L513 J519:L519 J525:L525 J531:L531 J537:L537 J543:L543 J549:L549 J555:L555 J561:L561 J567:L567 J573:L573 J579:L579 J585:L585 J591:L591 J597:L597 J603:L603 J609:L609 J615:L615 J621:L621 J627:L627 J633:L633 J639:L639 J645:L645 J651:L651 J657:L657 J663:L663 J669:L669 J675:L675 J681:L681 J688:L688 J694:L694 J700:L700 J706:L706 J712:L712 J718:L718 J724:L724 J730:L730 J736:L736 J742:L742 J748:L748 J754:L754 J760:L760 J766:L766 J772:L772 J778:L778 J784:L784 J790:L790 J796:L796 J802:L802 J808:L808 J814:L814 J820:L820 J826:L826 J832:L832 J838:L838 J844:L844 J850:L850 J856:L856 J862:L862 J868:L868 J874:L874 J880:L880 J886:L886 J892:L892 J898:L898 J904:L904 J910:L910 J916:L916 J922:L922 J928:L928 J934:L934 J940:L940 J946:L946 J952:L952 J959:L959 J966:L966 J972:L972 J978:L978 J984:L984 J990:L990 J996:L996 J1002:L1002 J1009:L1009 J1015:L1015 J1021:L1021 J1027:L1027 J1034:L1034 J1040:L1040 J1046:L1046 J1052:L1052 J1058:L1058 J1064:L1064 J1070:L1070 J1076:L1076 J1082:L1082 J1088:L1088 J1094:L1094 J1100:L1100 J1106:L1106 J1112:L1112 J1118:L1118 J1124:L1124 J1130:L1130 J1136:L1136 J1142:L1142 J1148:L1148 J1154:L1154 J1160:L1160 J1166:L1166 J1172:L1172 J1178:L1178 J1184:L1184 J1190:L1190 J1196:L1196 J1202:L1202 J1208:L1208 J1214:L1214 J1220:L1220 J1226:L1226 J1232:L1232 J1238:L1238 J1244:L1244 J1250:L1250 J1256:L1256 J1262:L1262 J1268:L1268 J1274:L1274 J1280:L1280 J1286:L1286 J1292:L1292 J1298:L1298 J1304:L1304 J1310:L1310 J1316:L1316 J1322:L1322 J1328:L1328 J1334:L1334 J1340:L1340 J1346:L1346 J1352:L1352 J1358:L1358 J1364:L1364 J1370:L1370 J1376:L1376 J1382:L1382 J1388:L1388 J1394:L1394 J1400:L1400 J1406:L1406 T8:X8 T14:X14 T20:X20 T26:X26 T32:X32 T38:X38 T44:X44 T50:X50 T57:X57 T63:X63 T69:X69 T75:X75 T81:X81 T87:X87 T93:X93 T99:X99 T105:X105 T111:X111 T117:X117 T123:X123 T129:X129 T135:X135 T141:X141 T147:X147 T153:X153 T159:X159 T165:X165 T171:X171 T177:X177 T183:X183 T189:X189 T195:X195 T201:X201 T207:X207 T213:X213 T219:X219 T225:X225 T231:X231 T237:X237 T243:X243 T249:X249 T255:X255 T261:X261 T267:X267 T273:X273 T279:X279 T285:X285 T291:X291 T297:X297 T303:X303 T309:X309 T315:X315 T321:X321 T327:X327 T333:X333 T339:X339 T345:X345 T351:X351 T357:X357 T363:X363 T369:X369 T375:X375 T381:X381 T387:X387 T393:X393 T399:X399 T405:X405 T411:X411 T417:X417 T423:X423 T429:X429 T435:X435 T441:X441 T447:X447 T453:X453 T459:X459 T465:X465 T471:X471 T477:X477 T483:X483 T489:X489 T495:X495 T501:X501 T507:X507 T513:X513 T519:X519 T525:X525 T531:X531 T537:X537 T543:X543 T549:X549 T555:X555 T561:X561 T567:X567 T573:X573 T579:X579 T585:X585 T591:X591 T597:X597 T603:X603 T609:X609 T615:X615 T621:X621 T627:X627 T633:X633 T639:X639 T645:X645 T651:X651 T657:X657 T663:X663 T669:X669 T675:X675 T681:X681 T688:X688 T694:X694 T700:X700 T706:X706 T712:X712 T718:X718 T724:X724 T730:X730 T736:X736 T742:X742 T748:X748 T754:X754 T760:X760 T766:X766 T772:X772 T778:X778 T784:X784 T790:X790 T796:X796 T802:X802 T808:X808 T814:X814 T820:X820 T826:X826 T832:X832 T838:X838 T844:X844 T850:X850 T856:X856 T862:X862 T868:X868 T874:X874 T880:X880 T886:X886 T892:X892 T898:X898 T904:X904 T910:X910 T916:X916 T922:X922 T928:X928 T934:X934 T940:X940 T946:X946 T952:X952 T959:X959 T966:X966 T972:X972 T978:X978 T984:X984 T990:X990 T996:X996 T1002:X1002 T1009:X1009 T1015:X1015 T1021:X1021 T1027:X1027 T1034:X1034 T1040:X1040 T1046:X1046 T1052:X1052 T1058:X1058 T1064:X1064 T1070:X1070 T1076:X1076 T1082:X1082 T1088:X1088 T1094:X1094 T1100:X1100 T1106:X1106 T1112:X1112 T1118:X1118 T1124:X1124 T1130:X1130 T1136:X1136 T1142:X1142 T1148:X1148 T1154:X1154 T1160:X1160 T1166:X1166 T1172:X1172 T1178:X1178 T1184:X1184 T1190:X1190 T1196:X1196 T1202:X1202 T1208:X1208 T1214:X1214 T1220:X1220 T1226:X1226 T1232:X1232 T1238:X1238 T1244:X1244 T1250:X1250 T1256:X1256 T1262:X1262 T1268:X1268 T1274:X1274 T1280:X1280 T1286:X1286 T1292:X1292 T1298:X1298 T1304:X1304 T1310:X1310 T1316:X1316 T1322:X1322 T1328:X1328 T1334:X1334 T1340:X1340 T1346:X1346 T1352:X1352 T1358:X1358 T1364:X1364 T1370:X1370 T1376:X1376 T1382:X1382 T1388:X1388 T1394:X1394 T1400:X1400 T1406:X1406">
    <cfRule type="expression" priority="1205" dxfId="4514">
      <formula>AND(ISNUMBER(TIMEVALUE(LEFT(J8,FIND("(",J8&amp;"(")-1))),ISNUMBER(TIMEVALUE(LEFT(J10,FIND("(",J10&amp;"(")-1))),IF(TIMEVALUE(LEFT(J8,FIND("(",J8&amp;"(")-1))&lt;=TIME(3,59,59),TIMEVALUE(LEFT(J8,FIND("(",J8&amp;"(")-1))+1,TIMEVALUE(LEFT(J8,FIND("(",J8&amp;"(")-1)))-60/1440&gt;IF(TIMEVALUE(LEFT(J10,FIND("(",J10&amp;"(")-1))&lt;=TIME(3,59,59),TIMEVALUE(LEFT(J10,FIND("(",J10&amp;"(")-1))+1,TIMEVALUE(LEFT(J10,FIND("(",J10&amp;"(")-1))))</formula>
    </cfRule>
  </conditionalFormatting>
  <conditionalFormatting sqref="N8:R8">
    <cfRule type="expression" priority="1200" dxfId="4514">
      <formula>AND(ISNUMBER(TIMEVALUE(LEFT(N8,FIND("(",N8&amp;"(")-1))),ISNUMBER(TIMEVALUE(LEFT(N10,FIND("(",N10&amp;"(")-1))),IF(TIMEVALUE(LEFT(N8,FIND("(",N8&amp;"(")-1))&lt;=TIME(3,59,59),TIMEVALUE(LEFT(N8,FIND("(",N8&amp;"(")-1))+1,TIMEVALUE(LEFT(N8,FIND("(",N8&amp;"(")-1)))-60/1440&gt;IF(TIMEVALUE(LEFT(N10,FIND("(",N10&amp;"(")-1))&lt;=TIME(3,59,59),TIMEVALUE(LEFT(N10,FIND("(",N10&amp;"(")-1))+1,TIMEVALUE(LEFT(N10,FIND("(",N10&amp;"(")-1))))</formula>
    </cfRule>
  </conditionalFormatting>
  <conditionalFormatting sqref="Z8:AD8">
    <cfRule type="expression" priority="1194" dxfId="4514">
      <formula>AND(ISNUMBER(TIMEVALUE(LEFT(Z8,FIND("(",Z8&amp;"(")-1))),ISNUMBER(TIMEVALUE(LEFT(Z10,FIND("(",Z10&amp;"(")-1))),IF(TIMEVALUE(LEFT(Z8,FIND("(",Z8&amp;"(")-1))&lt;=TIME(3,59,59),TIMEVALUE(LEFT(Z8,FIND("(",Z8&amp;"(")-1))+1,TIMEVALUE(LEFT(Z8,FIND("(",Z8&amp;"(")-1)))-60/1440&gt;IF(TIMEVALUE(LEFT(Z10,FIND("(",Z10&amp;"(")-1))&lt;=TIME(3,59,59),TIMEVALUE(LEFT(Z10,FIND("(",Z10&amp;"(")-1))+1,TIMEVALUE(LEFT(Z10,FIND("(",Z10&amp;"(")-1))))</formula>
    </cfRule>
  </conditionalFormatting>
  <conditionalFormatting sqref="N13:R13">
    <cfRule type="expression" priority="1318" dxfId="4514">
      <formula>AND(ISNUMBER(TIMEVALUE(LEFT(N13,FIND("(",N13&amp;"(")-1))),ISNUMBER(TIMEVALUE(LEFT(N15,FIND("(",N15&amp;"(")-1))),IF(TIMEVALUE(LEFT(N13,FIND("(",N13&amp;"(")-1))&lt;=TIME(3,59,59),TIMEVALUE(LEFT(N13,FIND("(",N13&amp;"(")-1))+1,TIMEVALUE(LEFT(N13,FIND("(",N13&amp;"(")-1)))+60/1440&lt;IF(TIMEVALUE(LEFT(N15,FIND("(",N15&amp;"(")-1))&lt;=TIME(3,59,59),TIMEVALUE(LEFT(N15,FIND("(",N15&amp;"(")-1))+1,TIMEVALUE(LEFT(N15,FIND("(",N15&amp;"(")-1))))</formula>
    </cfRule>
  </conditionalFormatting>
  <conditionalFormatting sqref="Z13:AD13">
    <cfRule type="expression" priority="1312" dxfId="4514">
      <formula>AND(ISNUMBER(TIMEVALUE(LEFT(Z13,FIND("(",Z13&amp;"(")-1))),ISNUMBER(TIMEVALUE(LEFT(Z15,FIND("(",Z15&amp;"(")-1))),IF(TIMEVALUE(LEFT(Z13,FIND("(",Z13&amp;"(")-1))&lt;=TIME(3,59,59),TIMEVALUE(LEFT(Z13,FIND("(",Z13&amp;"(")-1))+1,TIMEVALUE(LEFT(Z13,FIND("(",Z13&amp;"(")-1)))+60/1440&lt;IF(TIMEVALUE(LEFT(Z15,FIND("(",Z15&amp;"(")-1))&lt;=TIME(3,59,59),TIMEVALUE(LEFT(Z15,FIND("(",Z15&amp;"(")-1))+1,TIMEVALUE(LEFT(Z15,FIND("(",Z15&amp;"(")-1))))</formula>
    </cfRule>
  </conditionalFormatting>
  <conditionalFormatting sqref="N14:R14">
    <cfRule type="expression" priority="1319" dxfId="4514">
      <formula>AND(ISNUMBER(TIMEVALUE(LEFT(N14,FIND("(",N14&amp;"(")-1))),ISNUMBER(TIMEVALUE(LEFT(N16,FIND("(",N16&amp;"(")-1))),IF(TIMEVALUE(LEFT(N14,FIND("(",N14&amp;"(")-1))&lt;=TIME(3,59,59),TIMEVALUE(LEFT(N14,FIND("(",N14&amp;"(")-1))+1,TIMEVALUE(LEFT(N14,FIND("(",N14&amp;"(")-1)))-60/1440&gt;IF(TIMEVALUE(LEFT(N16,FIND("(",N16&amp;"(")-1))&lt;=TIME(3,59,59),TIMEVALUE(LEFT(N16,FIND("(",N16&amp;"(")-1))+1,TIMEVALUE(LEFT(N16,FIND("(",N16&amp;"(")-1))))</formula>
    </cfRule>
  </conditionalFormatting>
  <conditionalFormatting sqref="Z14:AD14">
    <cfRule type="expression" priority="1313" dxfId="4514">
      <formula>AND(ISNUMBER(TIMEVALUE(LEFT(Z14,FIND("(",Z14&amp;"(")-1))),ISNUMBER(TIMEVALUE(LEFT(Z16,FIND("(",Z16&amp;"(")-1))),IF(TIMEVALUE(LEFT(Z14,FIND("(",Z14&amp;"(")-1))&lt;=TIME(3,59,59),TIMEVALUE(LEFT(Z14,FIND("(",Z14&amp;"(")-1))+1,TIMEVALUE(LEFT(Z14,FIND("(",Z14&amp;"(")-1)))-60/1440&gt;IF(TIMEVALUE(LEFT(Z16,FIND("(",Z16&amp;"(")-1))&lt;=TIME(3,59,59),TIMEVALUE(LEFT(Z16,FIND("(",Z16&amp;"(")-1))+1,TIMEVALUE(LEFT(Z16,FIND("(",Z16&amp;"(")-1))))</formula>
    </cfRule>
  </conditionalFormatting>
  <conditionalFormatting sqref="N500:R500">
    <cfRule type="expression" priority="889" dxfId="4514">
      <formula>AND(ISNUMBER(TIMEVALUE(LEFT(N500,FIND("(",N500&amp;"(")-1))),ISNUMBER(TIMEVALUE(LEFT(N502,FIND("(",N502&amp;"(")-1))),IF(TIMEVALUE(LEFT(N500,FIND("(",N500&amp;"(")-1))&lt;=TIME(3,59,59),TIMEVALUE(LEFT(N500,FIND("(",N500&amp;"(")-1))+1,TIMEVALUE(LEFT(N500,FIND("(",N500&amp;"(")-1)))+60/1440&lt;IF(TIMEVALUE(LEFT(N502,FIND("(",N502&amp;"(")-1))&lt;=TIME(3,59,59),TIMEVALUE(LEFT(N502,FIND("(",N502&amp;"(")-1))+1,TIMEVALUE(LEFT(N502,FIND("(",N502&amp;"(")-1))))</formula>
    </cfRule>
  </conditionalFormatting>
  <conditionalFormatting sqref="Z500:AD500">
    <cfRule type="expression" priority="703" dxfId="4514">
      <formula>AND(ISNUMBER(TIMEVALUE(LEFT(Z500,FIND("(",Z500&amp;"(")-1))),ISNUMBER(TIMEVALUE(LEFT(Z502,FIND("(",Z502&amp;"(")-1))),IF(TIMEVALUE(LEFT(Z500,FIND("(",Z500&amp;"(")-1))&lt;=TIME(3,59,59),TIMEVALUE(LEFT(Z500,FIND("(",Z500&amp;"(")-1))+1,TIMEVALUE(LEFT(Z500,FIND("(",Z500&amp;"(")-1)))+60/1440&lt;IF(TIMEVALUE(LEFT(Z502,FIND("(",Z502&amp;"(")-1))&lt;=TIME(3,59,59),TIMEVALUE(LEFT(Z502,FIND("(",Z502&amp;"(")-1))+1,TIMEVALUE(LEFT(Z502,FIND("(",Z502&amp;"(")-1))))</formula>
    </cfRule>
  </conditionalFormatting>
  <conditionalFormatting sqref="N501:R501">
    <cfRule type="expression" priority="920" dxfId="4514">
      <formula>AND(ISNUMBER(TIMEVALUE(LEFT(N501,FIND("(",N501&amp;"(")-1))),ISNUMBER(TIMEVALUE(LEFT(N503,FIND("(",N503&amp;"(")-1))),IF(TIMEVALUE(LEFT(N501,FIND("(",N501&amp;"(")-1))&lt;=TIME(3,59,59),TIMEVALUE(LEFT(N501,FIND("(",N501&amp;"(")-1))+1,TIMEVALUE(LEFT(N501,FIND("(",N501&amp;"(")-1)))-60/1440&gt;IF(TIMEVALUE(LEFT(N503,FIND("(",N503&amp;"(")-1))&lt;=TIME(3,59,59),TIMEVALUE(LEFT(N503,FIND("(",N503&amp;"(")-1))+1,TIMEVALUE(LEFT(N503,FIND("(",N503&amp;"(")-1))))</formula>
    </cfRule>
  </conditionalFormatting>
  <conditionalFormatting sqref="Z501:AD501">
    <cfRule type="expression" priority="734" dxfId="4514">
      <formula>AND(ISNUMBER(TIMEVALUE(LEFT(Z501,FIND("(",Z501&amp;"(")-1))),ISNUMBER(TIMEVALUE(LEFT(Z503,FIND("(",Z503&amp;"(")-1))),IF(TIMEVALUE(LEFT(Z501,FIND("(",Z501&amp;"(")-1))&lt;=TIME(3,59,59),TIMEVALUE(LEFT(Z501,FIND("(",Z501&amp;"(")-1))+1,TIMEVALUE(LEFT(Z501,FIND("(",Z501&amp;"(")-1)))-60/1440&gt;IF(TIMEVALUE(LEFT(Z503,FIND("(",Z503&amp;"(")-1))&lt;=TIME(3,59,59),TIMEVALUE(LEFT(Z503,FIND("(",Z503&amp;"(")-1))+1,TIMEVALUE(LEFT(Z503,FIND("(",Z503&amp;"(")-1))))</formula>
    </cfRule>
  </conditionalFormatting>
  <conditionalFormatting sqref="N506:R506">
    <cfRule type="expression" priority="888" dxfId="4514">
      <formula>AND(ISNUMBER(TIMEVALUE(LEFT(N506,FIND("(",N506&amp;"(")-1))),ISNUMBER(TIMEVALUE(LEFT(N508,FIND("(",N508&amp;"(")-1))),IF(TIMEVALUE(LEFT(N506,FIND("(",N506&amp;"(")-1))&lt;=TIME(3,59,59),TIMEVALUE(LEFT(N506,FIND("(",N506&amp;"(")-1))+1,TIMEVALUE(LEFT(N506,FIND("(",N506&amp;"(")-1)))+60/1440&lt;IF(TIMEVALUE(LEFT(N508,FIND("(",N508&amp;"(")-1))&lt;=TIME(3,59,59),TIMEVALUE(LEFT(N508,FIND("(",N508&amp;"(")-1))+1,TIMEVALUE(LEFT(N508,FIND("(",N508&amp;"(")-1))))</formula>
    </cfRule>
  </conditionalFormatting>
  <conditionalFormatting sqref="Z506:AD506">
    <cfRule type="expression" priority="702" dxfId="4514">
      <formula>AND(ISNUMBER(TIMEVALUE(LEFT(Z506,FIND("(",Z506&amp;"(")-1))),ISNUMBER(TIMEVALUE(LEFT(Z508,FIND("(",Z508&amp;"(")-1))),IF(TIMEVALUE(LEFT(Z506,FIND("(",Z506&amp;"(")-1))&lt;=TIME(3,59,59),TIMEVALUE(LEFT(Z506,FIND("(",Z506&amp;"(")-1))+1,TIMEVALUE(LEFT(Z506,FIND("(",Z506&amp;"(")-1)))+60/1440&lt;IF(TIMEVALUE(LEFT(Z508,FIND("(",Z508&amp;"(")-1))&lt;=TIME(3,59,59),TIMEVALUE(LEFT(Z508,FIND("(",Z508&amp;"(")-1))+1,TIMEVALUE(LEFT(Z508,FIND("(",Z508&amp;"(")-1))))</formula>
    </cfRule>
  </conditionalFormatting>
  <conditionalFormatting sqref="N507:R507">
    <cfRule type="expression" priority="919" dxfId="4514">
      <formula>AND(ISNUMBER(TIMEVALUE(LEFT(N507,FIND("(",N507&amp;"(")-1))),ISNUMBER(TIMEVALUE(LEFT(N509,FIND("(",N509&amp;"(")-1))),IF(TIMEVALUE(LEFT(N507,FIND("(",N507&amp;"(")-1))&lt;=TIME(3,59,59),TIMEVALUE(LEFT(N507,FIND("(",N507&amp;"(")-1))+1,TIMEVALUE(LEFT(N507,FIND("(",N507&amp;"(")-1)))-60/1440&gt;IF(TIMEVALUE(LEFT(N509,FIND("(",N509&amp;"(")-1))&lt;=TIME(3,59,59),TIMEVALUE(LEFT(N509,FIND("(",N509&amp;"(")-1))+1,TIMEVALUE(LEFT(N509,FIND("(",N509&amp;"(")-1))))</formula>
    </cfRule>
  </conditionalFormatting>
  <conditionalFormatting sqref="Z507:AD507">
    <cfRule type="expression" priority="733" dxfId="4514">
      <formula>AND(ISNUMBER(TIMEVALUE(LEFT(Z507,FIND("(",Z507&amp;"(")-1))),ISNUMBER(TIMEVALUE(LEFT(Z509,FIND("(",Z509&amp;"(")-1))),IF(TIMEVALUE(LEFT(Z507,FIND("(",Z507&amp;"(")-1))&lt;=TIME(3,59,59),TIMEVALUE(LEFT(Z507,FIND("(",Z507&amp;"(")-1))+1,TIMEVALUE(LEFT(Z507,FIND("(",Z507&amp;"(")-1)))-60/1440&gt;IF(TIMEVALUE(LEFT(Z509,FIND("(",Z509&amp;"(")-1))&lt;=TIME(3,59,59),TIMEVALUE(LEFT(Z509,FIND("(",Z509&amp;"(")-1))+1,TIMEVALUE(LEFT(Z509,FIND("(",Z509&amp;"(")-1))))</formula>
    </cfRule>
  </conditionalFormatting>
  <conditionalFormatting sqref="N512:R512">
    <cfRule type="expression" priority="887" dxfId="4514">
      <formula>AND(ISNUMBER(TIMEVALUE(LEFT(N512,FIND("(",N512&amp;"(")-1))),ISNUMBER(TIMEVALUE(LEFT(N514,FIND("(",N514&amp;"(")-1))),IF(TIMEVALUE(LEFT(N512,FIND("(",N512&amp;"(")-1))&lt;=TIME(3,59,59),TIMEVALUE(LEFT(N512,FIND("(",N512&amp;"(")-1))+1,TIMEVALUE(LEFT(N512,FIND("(",N512&amp;"(")-1)))+60/1440&lt;IF(TIMEVALUE(LEFT(N514,FIND("(",N514&amp;"(")-1))&lt;=TIME(3,59,59),TIMEVALUE(LEFT(N514,FIND("(",N514&amp;"(")-1))+1,TIMEVALUE(LEFT(N514,FIND("(",N514&amp;"(")-1))))</formula>
    </cfRule>
  </conditionalFormatting>
  <conditionalFormatting sqref="Z512:AD512">
    <cfRule type="expression" priority="701" dxfId="4514">
      <formula>AND(ISNUMBER(TIMEVALUE(LEFT(Z512,FIND("(",Z512&amp;"(")-1))),ISNUMBER(TIMEVALUE(LEFT(Z514,FIND("(",Z514&amp;"(")-1))),IF(TIMEVALUE(LEFT(Z512,FIND("(",Z512&amp;"(")-1))&lt;=TIME(3,59,59),TIMEVALUE(LEFT(Z512,FIND("(",Z512&amp;"(")-1))+1,TIMEVALUE(LEFT(Z512,FIND("(",Z512&amp;"(")-1)))+60/1440&lt;IF(TIMEVALUE(LEFT(Z514,FIND("(",Z514&amp;"(")-1))&lt;=TIME(3,59,59),TIMEVALUE(LEFT(Z514,FIND("(",Z514&amp;"(")-1))+1,TIMEVALUE(LEFT(Z514,FIND("(",Z514&amp;"(")-1))))</formula>
    </cfRule>
  </conditionalFormatting>
  <conditionalFormatting sqref="N513:R513">
    <cfRule type="expression" priority="918" dxfId="4514">
      <formula>AND(ISNUMBER(TIMEVALUE(LEFT(N513,FIND("(",N513&amp;"(")-1))),ISNUMBER(TIMEVALUE(LEFT(N515,FIND("(",N515&amp;"(")-1))),IF(TIMEVALUE(LEFT(N513,FIND("(",N513&amp;"(")-1))&lt;=TIME(3,59,59),TIMEVALUE(LEFT(N513,FIND("(",N513&amp;"(")-1))+1,TIMEVALUE(LEFT(N513,FIND("(",N513&amp;"(")-1)))-60/1440&gt;IF(TIMEVALUE(LEFT(N515,FIND("(",N515&amp;"(")-1))&lt;=TIME(3,59,59),TIMEVALUE(LEFT(N515,FIND("(",N515&amp;"(")-1))+1,TIMEVALUE(LEFT(N515,FIND("(",N515&amp;"(")-1))))</formula>
    </cfRule>
  </conditionalFormatting>
  <conditionalFormatting sqref="Z513:AD513">
    <cfRule type="expression" priority="732" dxfId="4514">
      <formula>AND(ISNUMBER(TIMEVALUE(LEFT(Z513,FIND("(",Z513&amp;"(")-1))),ISNUMBER(TIMEVALUE(LEFT(Z515,FIND("(",Z515&amp;"(")-1))),IF(TIMEVALUE(LEFT(Z513,FIND("(",Z513&amp;"(")-1))&lt;=TIME(3,59,59),TIMEVALUE(LEFT(Z513,FIND("(",Z513&amp;"(")-1))+1,TIMEVALUE(LEFT(Z513,FIND("(",Z513&amp;"(")-1)))-60/1440&gt;IF(TIMEVALUE(LEFT(Z515,FIND("(",Z515&amp;"(")-1))&lt;=TIME(3,59,59),TIMEVALUE(LEFT(Z515,FIND("(",Z515&amp;"(")-1))+1,TIMEVALUE(LEFT(Z515,FIND("(",Z515&amp;"(")-1))))</formula>
    </cfRule>
  </conditionalFormatting>
  <conditionalFormatting sqref="N518:R518">
    <cfRule type="expression" priority="886" dxfId="4514">
      <formula>AND(ISNUMBER(TIMEVALUE(LEFT(N518,FIND("(",N518&amp;"(")-1))),ISNUMBER(TIMEVALUE(LEFT(N520,FIND("(",N520&amp;"(")-1))),IF(TIMEVALUE(LEFT(N518,FIND("(",N518&amp;"(")-1))&lt;=TIME(3,59,59),TIMEVALUE(LEFT(N518,FIND("(",N518&amp;"(")-1))+1,TIMEVALUE(LEFT(N518,FIND("(",N518&amp;"(")-1)))+60/1440&lt;IF(TIMEVALUE(LEFT(N520,FIND("(",N520&amp;"(")-1))&lt;=TIME(3,59,59),TIMEVALUE(LEFT(N520,FIND("(",N520&amp;"(")-1))+1,TIMEVALUE(LEFT(N520,FIND("(",N520&amp;"(")-1))))</formula>
    </cfRule>
  </conditionalFormatting>
  <conditionalFormatting sqref="Z518:AD518">
    <cfRule type="expression" priority="700" dxfId="4514">
      <formula>AND(ISNUMBER(TIMEVALUE(LEFT(Z518,FIND("(",Z518&amp;"(")-1))),ISNUMBER(TIMEVALUE(LEFT(Z520,FIND("(",Z520&amp;"(")-1))),IF(TIMEVALUE(LEFT(Z518,FIND("(",Z518&amp;"(")-1))&lt;=TIME(3,59,59),TIMEVALUE(LEFT(Z518,FIND("(",Z518&amp;"(")-1))+1,TIMEVALUE(LEFT(Z518,FIND("(",Z518&amp;"(")-1)))+60/1440&lt;IF(TIMEVALUE(LEFT(Z520,FIND("(",Z520&amp;"(")-1))&lt;=TIME(3,59,59),TIMEVALUE(LEFT(Z520,FIND("(",Z520&amp;"(")-1))+1,TIMEVALUE(LEFT(Z520,FIND("(",Z520&amp;"(")-1))))</formula>
    </cfRule>
  </conditionalFormatting>
  <conditionalFormatting sqref="N519:R519">
    <cfRule type="expression" priority="917" dxfId="4514">
      <formula>AND(ISNUMBER(TIMEVALUE(LEFT(N519,FIND("(",N519&amp;"(")-1))),ISNUMBER(TIMEVALUE(LEFT(N521,FIND("(",N521&amp;"(")-1))),IF(TIMEVALUE(LEFT(N519,FIND("(",N519&amp;"(")-1))&lt;=TIME(3,59,59),TIMEVALUE(LEFT(N519,FIND("(",N519&amp;"(")-1))+1,TIMEVALUE(LEFT(N519,FIND("(",N519&amp;"(")-1)))-60/1440&gt;IF(TIMEVALUE(LEFT(N521,FIND("(",N521&amp;"(")-1))&lt;=TIME(3,59,59),TIMEVALUE(LEFT(N521,FIND("(",N521&amp;"(")-1))+1,TIMEVALUE(LEFT(N521,FIND("(",N521&amp;"(")-1))))</formula>
    </cfRule>
  </conditionalFormatting>
  <conditionalFormatting sqref="Z519:AD519">
    <cfRule type="expression" priority="731" dxfId="4514">
      <formula>AND(ISNUMBER(TIMEVALUE(LEFT(Z519,FIND("(",Z519&amp;"(")-1))),ISNUMBER(TIMEVALUE(LEFT(Z521,FIND("(",Z521&amp;"(")-1))),IF(TIMEVALUE(LEFT(Z519,FIND("(",Z519&amp;"(")-1))&lt;=TIME(3,59,59),TIMEVALUE(LEFT(Z519,FIND("(",Z519&amp;"(")-1))+1,TIMEVALUE(LEFT(Z519,FIND("(",Z519&amp;"(")-1)))-60/1440&gt;IF(TIMEVALUE(LEFT(Z521,FIND("(",Z521&amp;"(")-1))&lt;=TIME(3,59,59),TIMEVALUE(LEFT(Z521,FIND("(",Z521&amp;"(")-1))+1,TIMEVALUE(LEFT(Z521,FIND("(",Z521&amp;"(")-1))))</formula>
    </cfRule>
  </conditionalFormatting>
  <conditionalFormatting sqref="N524:R524">
    <cfRule type="expression" priority="885" dxfId="4514">
      <formula>AND(ISNUMBER(TIMEVALUE(LEFT(N524,FIND("(",N524&amp;"(")-1))),ISNUMBER(TIMEVALUE(LEFT(N526,FIND("(",N526&amp;"(")-1))),IF(TIMEVALUE(LEFT(N524,FIND("(",N524&amp;"(")-1))&lt;=TIME(3,59,59),TIMEVALUE(LEFT(N524,FIND("(",N524&amp;"(")-1))+1,TIMEVALUE(LEFT(N524,FIND("(",N524&amp;"(")-1)))+60/1440&lt;IF(TIMEVALUE(LEFT(N526,FIND("(",N526&amp;"(")-1))&lt;=TIME(3,59,59),TIMEVALUE(LEFT(N526,FIND("(",N526&amp;"(")-1))+1,TIMEVALUE(LEFT(N526,FIND("(",N526&amp;"(")-1))))</formula>
    </cfRule>
  </conditionalFormatting>
  <conditionalFormatting sqref="Z524:AD524">
    <cfRule type="expression" priority="699" dxfId="4514">
      <formula>AND(ISNUMBER(TIMEVALUE(LEFT(Z524,FIND("(",Z524&amp;"(")-1))),ISNUMBER(TIMEVALUE(LEFT(Z526,FIND("(",Z526&amp;"(")-1))),IF(TIMEVALUE(LEFT(Z524,FIND("(",Z524&amp;"(")-1))&lt;=TIME(3,59,59),TIMEVALUE(LEFT(Z524,FIND("(",Z524&amp;"(")-1))+1,TIMEVALUE(LEFT(Z524,FIND("(",Z524&amp;"(")-1)))+60/1440&lt;IF(TIMEVALUE(LEFT(Z526,FIND("(",Z526&amp;"(")-1))&lt;=TIME(3,59,59),TIMEVALUE(LEFT(Z526,FIND("(",Z526&amp;"(")-1))+1,TIMEVALUE(LEFT(Z526,FIND("(",Z526&amp;"(")-1))))</formula>
    </cfRule>
  </conditionalFormatting>
  <conditionalFormatting sqref="N525:R525">
    <cfRule type="expression" priority="916" dxfId="4514">
      <formula>AND(ISNUMBER(TIMEVALUE(LEFT(N525,FIND("(",N525&amp;"(")-1))),ISNUMBER(TIMEVALUE(LEFT(N527,FIND("(",N527&amp;"(")-1))),IF(TIMEVALUE(LEFT(N525,FIND("(",N525&amp;"(")-1))&lt;=TIME(3,59,59),TIMEVALUE(LEFT(N525,FIND("(",N525&amp;"(")-1))+1,TIMEVALUE(LEFT(N525,FIND("(",N525&amp;"(")-1)))-60/1440&gt;IF(TIMEVALUE(LEFT(N527,FIND("(",N527&amp;"(")-1))&lt;=TIME(3,59,59),TIMEVALUE(LEFT(N527,FIND("(",N527&amp;"(")-1))+1,TIMEVALUE(LEFT(N527,FIND("(",N527&amp;"(")-1))))</formula>
    </cfRule>
  </conditionalFormatting>
  <conditionalFormatting sqref="Z525:AD525">
    <cfRule type="expression" priority="730" dxfId="4514">
      <formula>AND(ISNUMBER(TIMEVALUE(LEFT(Z525,FIND("(",Z525&amp;"(")-1))),ISNUMBER(TIMEVALUE(LEFT(Z527,FIND("(",Z527&amp;"(")-1))),IF(TIMEVALUE(LEFT(Z525,FIND("(",Z525&amp;"(")-1))&lt;=TIME(3,59,59),TIMEVALUE(LEFT(Z525,FIND("(",Z525&amp;"(")-1))+1,TIMEVALUE(LEFT(Z525,FIND("(",Z525&amp;"(")-1)))-60/1440&gt;IF(TIMEVALUE(LEFT(Z527,FIND("(",Z527&amp;"(")-1))&lt;=TIME(3,59,59),TIMEVALUE(LEFT(Z527,FIND("(",Z527&amp;"(")-1))+1,TIMEVALUE(LEFT(Z527,FIND("(",Z527&amp;"(")-1))))</formula>
    </cfRule>
  </conditionalFormatting>
  <conditionalFormatting sqref="N530:R530">
    <cfRule type="expression" priority="884" dxfId="4514">
      <formula>AND(ISNUMBER(TIMEVALUE(LEFT(N530,FIND("(",N530&amp;"(")-1))),ISNUMBER(TIMEVALUE(LEFT(N532,FIND("(",N532&amp;"(")-1))),IF(TIMEVALUE(LEFT(N530,FIND("(",N530&amp;"(")-1))&lt;=TIME(3,59,59),TIMEVALUE(LEFT(N530,FIND("(",N530&amp;"(")-1))+1,TIMEVALUE(LEFT(N530,FIND("(",N530&amp;"(")-1)))+60/1440&lt;IF(TIMEVALUE(LEFT(N532,FIND("(",N532&amp;"(")-1))&lt;=TIME(3,59,59),TIMEVALUE(LEFT(N532,FIND("(",N532&amp;"(")-1))+1,TIMEVALUE(LEFT(N532,FIND("(",N532&amp;"(")-1))))</formula>
    </cfRule>
  </conditionalFormatting>
  <conditionalFormatting sqref="Z530:AD530">
    <cfRule type="expression" priority="698" dxfId="4514">
      <formula>AND(ISNUMBER(TIMEVALUE(LEFT(Z530,FIND("(",Z530&amp;"(")-1))),ISNUMBER(TIMEVALUE(LEFT(Z532,FIND("(",Z532&amp;"(")-1))),IF(TIMEVALUE(LEFT(Z530,FIND("(",Z530&amp;"(")-1))&lt;=TIME(3,59,59),TIMEVALUE(LEFT(Z530,FIND("(",Z530&amp;"(")-1))+1,TIMEVALUE(LEFT(Z530,FIND("(",Z530&amp;"(")-1)))+60/1440&lt;IF(TIMEVALUE(LEFT(Z532,FIND("(",Z532&amp;"(")-1))&lt;=TIME(3,59,59),TIMEVALUE(LEFT(Z532,FIND("(",Z532&amp;"(")-1))+1,TIMEVALUE(LEFT(Z532,FIND("(",Z532&amp;"(")-1))))</formula>
    </cfRule>
  </conditionalFormatting>
  <conditionalFormatting sqref="N531:R531">
    <cfRule type="expression" priority="915" dxfId="4514">
      <formula>AND(ISNUMBER(TIMEVALUE(LEFT(N531,FIND("(",N531&amp;"(")-1))),ISNUMBER(TIMEVALUE(LEFT(N533,FIND("(",N533&amp;"(")-1))),IF(TIMEVALUE(LEFT(N531,FIND("(",N531&amp;"(")-1))&lt;=TIME(3,59,59),TIMEVALUE(LEFT(N531,FIND("(",N531&amp;"(")-1))+1,TIMEVALUE(LEFT(N531,FIND("(",N531&amp;"(")-1)))-60/1440&gt;IF(TIMEVALUE(LEFT(N533,FIND("(",N533&amp;"(")-1))&lt;=TIME(3,59,59),TIMEVALUE(LEFT(N533,FIND("(",N533&amp;"(")-1))+1,TIMEVALUE(LEFT(N533,FIND("(",N533&amp;"(")-1))))</formula>
    </cfRule>
  </conditionalFormatting>
  <conditionalFormatting sqref="Z531:AD531">
    <cfRule type="expression" priority="729" dxfId="4514">
      <formula>AND(ISNUMBER(TIMEVALUE(LEFT(Z531,FIND("(",Z531&amp;"(")-1))),ISNUMBER(TIMEVALUE(LEFT(Z533,FIND("(",Z533&amp;"(")-1))),IF(TIMEVALUE(LEFT(Z531,FIND("(",Z531&amp;"(")-1))&lt;=TIME(3,59,59),TIMEVALUE(LEFT(Z531,FIND("(",Z531&amp;"(")-1))+1,TIMEVALUE(LEFT(Z531,FIND("(",Z531&amp;"(")-1)))-60/1440&gt;IF(TIMEVALUE(LEFT(Z533,FIND("(",Z533&amp;"(")-1))&lt;=TIME(3,59,59),TIMEVALUE(LEFT(Z533,FIND("(",Z533&amp;"(")-1))+1,TIMEVALUE(LEFT(Z533,FIND("(",Z533&amp;"(")-1))))</formula>
    </cfRule>
  </conditionalFormatting>
  <conditionalFormatting sqref="N536:R536">
    <cfRule type="expression" priority="883" dxfId="4514">
      <formula>AND(ISNUMBER(TIMEVALUE(LEFT(N536,FIND("(",N536&amp;"(")-1))),ISNUMBER(TIMEVALUE(LEFT(N538,FIND("(",N538&amp;"(")-1))),IF(TIMEVALUE(LEFT(N536,FIND("(",N536&amp;"(")-1))&lt;=TIME(3,59,59),TIMEVALUE(LEFT(N536,FIND("(",N536&amp;"(")-1))+1,TIMEVALUE(LEFT(N536,FIND("(",N536&amp;"(")-1)))+60/1440&lt;IF(TIMEVALUE(LEFT(N538,FIND("(",N538&amp;"(")-1))&lt;=TIME(3,59,59),TIMEVALUE(LEFT(N538,FIND("(",N538&amp;"(")-1))+1,TIMEVALUE(LEFT(N538,FIND("(",N538&amp;"(")-1))))</formula>
    </cfRule>
  </conditionalFormatting>
  <conditionalFormatting sqref="Z536:AD536">
    <cfRule type="expression" priority="697" dxfId="4514">
      <formula>AND(ISNUMBER(TIMEVALUE(LEFT(Z536,FIND("(",Z536&amp;"(")-1))),ISNUMBER(TIMEVALUE(LEFT(Z538,FIND("(",Z538&amp;"(")-1))),IF(TIMEVALUE(LEFT(Z536,FIND("(",Z536&amp;"(")-1))&lt;=TIME(3,59,59),TIMEVALUE(LEFT(Z536,FIND("(",Z536&amp;"(")-1))+1,TIMEVALUE(LEFT(Z536,FIND("(",Z536&amp;"(")-1)))+60/1440&lt;IF(TIMEVALUE(LEFT(Z538,FIND("(",Z538&amp;"(")-1))&lt;=TIME(3,59,59),TIMEVALUE(LEFT(Z538,FIND("(",Z538&amp;"(")-1))+1,TIMEVALUE(LEFT(Z538,FIND("(",Z538&amp;"(")-1))))</formula>
    </cfRule>
  </conditionalFormatting>
  <conditionalFormatting sqref="N537:R537">
    <cfRule type="expression" priority="914" dxfId="4514">
      <formula>AND(ISNUMBER(TIMEVALUE(LEFT(N537,FIND("(",N537&amp;"(")-1))),ISNUMBER(TIMEVALUE(LEFT(N539,FIND("(",N539&amp;"(")-1))),IF(TIMEVALUE(LEFT(N537,FIND("(",N537&amp;"(")-1))&lt;=TIME(3,59,59),TIMEVALUE(LEFT(N537,FIND("(",N537&amp;"(")-1))+1,TIMEVALUE(LEFT(N537,FIND("(",N537&amp;"(")-1)))-60/1440&gt;IF(TIMEVALUE(LEFT(N539,FIND("(",N539&amp;"(")-1))&lt;=TIME(3,59,59),TIMEVALUE(LEFT(N539,FIND("(",N539&amp;"(")-1))+1,TIMEVALUE(LEFT(N539,FIND("(",N539&amp;"(")-1))))</formula>
    </cfRule>
  </conditionalFormatting>
  <conditionalFormatting sqref="Z537:AD537">
    <cfRule type="expression" priority="728" dxfId="4514">
      <formula>AND(ISNUMBER(TIMEVALUE(LEFT(Z537,FIND("(",Z537&amp;"(")-1))),ISNUMBER(TIMEVALUE(LEFT(Z539,FIND("(",Z539&amp;"(")-1))),IF(TIMEVALUE(LEFT(Z537,FIND("(",Z537&amp;"(")-1))&lt;=TIME(3,59,59),TIMEVALUE(LEFT(Z537,FIND("(",Z537&amp;"(")-1))+1,TIMEVALUE(LEFT(Z537,FIND("(",Z537&amp;"(")-1)))-60/1440&gt;IF(TIMEVALUE(LEFT(Z539,FIND("(",Z539&amp;"(")-1))&lt;=TIME(3,59,59),TIMEVALUE(LEFT(Z539,FIND("(",Z539&amp;"(")-1))+1,TIMEVALUE(LEFT(Z539,FIND("(",Z539&amp;"(")-1))))</formula>
    </cfRule>
  </conditionalFormatting>
  <conditionalFormatting sqref="N542:R542">
    <cfRule type="expression" priority="882" dxfId="4514">
      <formula>AND(ISNUMBER(TIMEVALUE(LEFT(N542,FIND("(",N542&amp;"(")-1))),ISNUMBER(TIMEVALUE(LEFT(N544,FIND("(",N544&amp;"(")-1))),IF(TIMEVALUE(LEFT(N542,FIND("(",N542&amp;"(")-1))&lt;=TIME(3,59,59),TIMEVALUE(LEFT(N542,FIND("(",N542&amp;"(")-1))+1,TIMEVALUE(LEFT(N542,FIND("(",N542&amp;"(")-1)))+60/1440&lt;IF(TIMEVALUE(LEFT(N544,FIND("(",N544&amp;"(")-1))&lt;=TIME(3,59,59),TIMEVALUE(LEFT(N544,FIND("(",N544&amp;"(")-1))+1,TIMEVALUE(LEFT(N544,FIND("(",N544&amp;"(")-1))))</formula>
    </cfRule>
  </conditionalFormatting>
  <conditionalFormatting sqref="Z542:AD542">
    <cfRule type="expression" priority="696" dxfId="4514">
      <formula>AND(ISNUMBER(TIMEVALUE(LEFT(Z542,FIND("(",Z542&amp;"(")-1))),ISNUMBER(TIMEVALUE(LEFT(Z544,FIND("(",Z544&amp;"(")-1))),IF(TIMEVALUE(LEFT(Z542,FIND("(",Z542&amp;"(")-1))&lt;=TIME(3,59,59),TIMEVALUE(LEFT(Z542,FIND("(",Z542&amp;"(")-1))+1,TIMEVALUE(LEFT(Z542,FIND("(",Z542&amp;"(")-1)))+60/1440&lt;IF(TIMEVALUE(LEFT(Z544,FIND("(",Z544&amp;"(")-1))&lt;=TIME(3,59,59),TIMEVALUE(LEFT(Z544,FIND("(",Z544&amp;"(")-1))+1,TIMEVALUE(LEFT(Z544,FIND("(",Z544&amp;"(")-1))))</formula>
    </cfRule>
  </conditionalFormatting>
  <conditionalFormatting sqref="N543:R543">
    <cfRule type="expression" priority="913" dxfId="4514">
      <formula>AND(ISNUMBER(TIMEVALUE(LEFT(N543,FIND("(",N543&amp;"(")-1))),ISNUMBER(TIMEVALUE(LEFT(N545,FIND("(",N545&amp;"(")-1))),IF(TIMEVALUE(LEFT(N543,FIND("(",N543&amp;"(")-1))&lt;=TIME(3,59,59),TIMEVALUE(LEFT(N543,FIND("(",N543&amp;"(")-1))+1,TIMEVALUE(LEFT(N543,FIND("(",N543&amp;"(")-1)))-60/1440&gt;IF(TIMEVALUE(LEFT(N545,FIND("(",N545&amp;"(")-1))&lt;=TIME(3,59,59),TIMEVALUE(LEFT(N545,FIND("(",N545&amp;"(")-1))+1,TIMEVALUE(LEFT(N545,FIND("(",N545&amp;"(")-1))))</formula>
    </cfRule>
  </conditionalFormatting>
  <conditionalFormatting sqref="Z543:AD543">
    <cfRule type="expression" priority="727" dxfId="4514">
      <formula>AND(ISNUMBER(TIMEVALUE(LEFT(Z543,FIND("(",Z543&amp;"(")-1))),ISNUMBER(TIMEVALUE(LEFT(Z545,FIND("(",Z545&amp;"(")-1))),IF(TIMEVALUE(LEFT(Z543,FIND("(",Z543&amp;"(")-1))&lt;=TIME(3,59,59),TIMEVALUE(LEFT(Z543,FIND("(",Z543&amp;"(")-1))+1,TIMEVALUE(LEFT(Z543,FIND("(",Z543&amp;"(")-1)))-60/1440&gt;IF(TIMEVALUE(LEFT(Z545,FIND("(",Z545&amp;"(")-1))&lt;=TIME(3,59,59),TIMEVALUE(LEFT(Z545,FIND("(",Z545&amp;"(")-1))+1,TIMEVALUE(LEFT(Z545,FIND("(",Z545&amp;"(")-1))))</formula>
    </cfRule>
  </conditionalFormatting>
  <conditionalFormatting sqref="N548:R548">
    <cfRule type="expression" priority="881" dxfId="4514">
      <formula>AND(ISNUMBER(TIMEVALUE(LEFT(N548,FIND("(",N548&amp;"(")-1))),ISNUMBER(TIMEVALUE(LEFT(N550,FIND("(",N550&amp;"(")-1))),IF(TIMEVALUE(LEFT(N548,FIND("(",N548&amp;"(")-1))&lt;=TIME(3,59,59),TIMEVALUE(LEFT(N548,FIND("(",N548&amp;"(")-1))+1,TIMEVALUE(LEFT(N548,FIND("(",N548&amp;"(")-1)))+60/1440&lt;IF(TIMEVALUE(LEFT(N550,FIND("(",N550&amp;"(")-1))&lt;=TIME(3,59,59),TIMEVALUE(LEFT(N550,FIND("(",N550&amp;"(")-1))+1,TIMEVALUE(LEFT(N550,FIND("(",N550&amp;"(")-1))))</formula>
    </cfRule>
  </conditionalFormatting>
  <conditionalFormatting sqref="Z548:AD548">
    <cfRule type="expression" priority="695" dxfId="4514">
      <formula>AND(ISNUMBER(TIMEVALUE(LEFT(Z548,FIND("(",Z548&amp;"(")-1))),ISNUMBER(TIMEVALUE(LEFT(Z550,FIND("(",Z550&amp;"(")-1))),IF(TIMEVALUE(LEFT(Z548,FIND("(",Z548&amp;"(")-1))&lt;=TIME(3,59,59),TIMEVALUE(LEFT(Z548,FIND("(",Z548&amp;"(")-1))+1,TIMEVALUE(LEFT(Z548,FIND("(",Z548&amp;"(")-1)))+60/1440&lt;IF(TIMEVALUE(LEFT(Z550,FIND("(",Z550&amp;"(")-1))&lt;=TIME(3,59,59),TIMEVALUE(LEFT(Z550,FIND("(",Z550&amp;"(")-1))+1,TIMEVALUE(LEFT(Z550,FIND("(",Z550&amp;"(")-1))))</formula>
    </cfRule>
  </conditionalFormatting>
  <conditionalFormatting sqref="N549:R549">
    <cfRule type="expression" priority="912" dxfId="4514">
      <formula>AND(ISNUMBER(TIMEVALUE(LEFT(N549,FIND("(",N549&amp;"(")-1))),ISNUMBER(TIMEVALUE(LEFT(N551,FIND("(",N551&amp;"(")-1))),IF(TIMEVALUE(LEFT(N549,FIND("(",N549&amp;"(")-1))&lt;=TIME(3,59,59),TIMEVALUE(LEFT(N549,FIND("(",N549&amp;"(")-1))+1,TIMEVALUE(LEFT(N549,FIND("(",N549&amp;"(")-1)))-60/1440&gt;IF(TIMEVALUE(LEFT(N551,FIND("(",N551&amp;"(")-1))&lt;=TIME(3,59,59),TIMEVALUE(LEFT(N551,FIND("(",N551&amp;"(")-1))+1,TIMEVALUE(LEFT(N551,FIND("(",N551&amp;"(")-1))))</formula>
    </cfRule>
  </conditionalFormatting>
  <conditionalFormatting sqref="Z549:AD549">
    <cfRule type="expression" priority="726" dxfId="4514">
      <formula>AND(ISNUMBER(TIMEVALUE(LEFT(Z549,FIND("(",Z549&amp;"(")-1))),ISNUMBER(TIMEVALUE(LEFT(Z551,FIND("(",Z551&amp;"(")-1))),IF(TIMEVALUE(LEFT(Z549,FIND("(",Z549&amp;"(")-1))&lt;=TIME(3,59,59),TIMEVALUE(LEFT(Z549,FIND("(",Z549&amp;"(")-1))+1,TIMEVALUE(LEFT(Z549,FIND("(",Z549&amp;"(")-1)))-60/1440&gt;IF(TIMEVALUE(LEFT(Z551,FIND("(",Z551&amp;"(")-1))&lt;=TIME(3,59,59),TIMEVALUE(LEFT(Z551,FIND("(",Z551&amp;"(")-1))+1,TIMEVALUE(LEFT(Z551,FIND("(",Z551&amp;"(")-1))))</formula>
    </cfRule>
  </conditionalFormatting>
  <conditionalFormatting sqref="N554:R554">
    <cfRule type="expression" priority="880" dxfId="4514">
      <formula>AND(ISNUMBER(TIMEVALUE(LEFT(N554,FIND("(",N554&amp;"(")-1))),ISNUMBER(TIMEVALUE(LEFT(N556,FIND("(",N556&amp;"(")-1))),IF(TIMEVALUE(LEFT(N554,FIND("(",N554&amp;"(")-1))&lt;=TIME(3,59,59),TIMEVALUE(LEFT(N554,FIND("(",N554&amp;"(")-1))+1,TIMEVALUE(LEFT(N554,FIND("(",N554&amp;"(")-1)))+60/1440&lt;IF(TIMEVALUE(LEFT(N556,FIND("(",N556&amp;"(")-1))&lt;=TIME(3,59,59),TIMEVALUE(LEFT(N556,FIND("(",N556&amp;"(")-1))+1,TIMEVALUE(LEFT(N556,FIND("(",N556&amp;"(")-1))))</formula>
    </cfRule>
  </conditionalFormatting>
  <conditionalFormatting sqref="Z554:AD554">
    <cfRule type="expression" priority="694" dxfId="4514">
      <formula>AND(ISNUMBER(TIMEVALUE(LEFT(Z554,FIND("(",Z554&amp;"(")-1))),ISNUMBER(TIMEVALUE(LEFT(Z556,FIND("(",Z556&amp;"(")-1))),IF(TIMEVALUE(LEFT(Z554,FIND("(",Z554&amp;"(")-1))&lt;=TIME(3,59,59),TIMEVALUE(LEFT(Z554,FIND("(",Z554&amp;"(")-1))+1,TIMEVALUE(LEFT(Z554,FIND("(",Z554&amp;"(")-1)))+60/1440&lt;IF(TIMEVALUE(LEFT(Z556,FIND("(",Z556&amp;"(")-1))&lt;=TIME(3,59,59),TIMEVALUE(LEFT(Z556,FIND("(",Z556&amp;"(")-1))+1,TIMEVALUE(LEFT(Z556,FIND("(",Z556&amp;"(")-1))))</formula>
    </cfRule>
  </conditionalFormatting>
  <conditionalFormatting sqref="N555:R555">
    <cfRule type="expression" priority="911" dxfId="4514">
      <formula>AND(ISNUMBER(TIMEVALUE(LEFT(N555,FIND("(",N555&amp;"(")-1))),ISNUMBER(TIMEVALUE(LEFT(N557,FIND("(",N557&amp;"(")-1))),IF(TIMEVALUE(LEFT(N555,FIND("(",N555&amp;"(")-1))&lt;=TIME(3,59,59),TIMEVALUE(LEFT(N555,FIND("(",N555&amp;"(")-1))+1,TIMEVALUE(LEFT(N555,FIND("(",N555&amp;"(")-1)))-60/1440&gt;IF(TIMEVALUE(LEFT(N557,FIND("(",N557&amp;"(")-1))&lt;=TIME(3,59,59),TIMEVALUE(LEFT(N557,FIND("(",N557&amp;"(")-1))+1,TIMEVALUE(LEFT(N557,FIND("(",N557&amp;"(")-1))))</formula>
    </cfRule>
  </conditionalFormatting>
  <conditionalFormatting sqref="Z555:AD555">
    <cfRule type="expression" priority="725" dxfId="4514">
      <formula>AND(ISNUMBER(TIMEVALUE(LEFT(Z555,FIND("(",Z555&amp;"(")-1))),ISNUMBER(TIMEVALUE(LEFT(Z557,FIND("(",Z557&amp;"(")-1))),IF(TIMEVALUE(LEFT(Z555,FIND("(",Z555&amp;"(")-1))&lt;=TIME(3,59,59),TIMEVALUE(LEFT(Z555,FIND("(",Z555&amp;"(")-1))+1,TIMEVALUE(LEFT(Z555,FIND("(",Z555&amp;"(")-1)))-60/1440&gt;IF(TIMEVALUE(LEFT(Z557,FIND("(",Z557&amp;"(")-1))&lt;=TIME(3,59,59),TIMEVALUE(LEFT(Z557,FIND("(",Z557&amp;"(")-1))+1,TIMEVALUE(LEFT(Z557,FIND("(",Z557&amp;"(")-1))))</formula>
    </cfRule>
  </conditionalFormatting>
  <conditionalFormatting sqref="N560:R560">
    <cfRule type="expression" priority="879" dxfId="4514">
      <formula>AND(ISNUMBER(TIMEVALUE(LEFT(N560,FIND("(",N560&amp;"(")-1))),ISNUMBER(TIMEVALUE(LEFT(N562,FIND("(",N562&amp;"(")-1))),IF(TIMEVALUE(LEFT(N560,FIND("(",N560&amp;"(")-1))&lt;=TIME(3,59,59),TIMEVALUE(LEFT(N560,FIND("(",N560&amp;"(")-1))+1,TIMEVALUE(LEFT(N560,FIND("(",N560&amp;"(")-1)))+60/1440&lt;IF(TIMEVALUE(LEFT(N562,FIND("(",N562&amp;"(")-1))&lt;=TIME(3,59,59),TIMEVALUE(LEFT(N562,FIND("(",N562&amp;"(")-1))+1,TIMEVALUE(LEFT(N562,FIND("(",N562&amp;"(")-1))))</formula>
    </cfRule>
  </conditionalFormatting>
  <conditionalFormatting sqref="Z560:AD560">
    <cfRule type="expression" priority="693" dxfId="4514">
      <formula>AND(ISNUMBER(TIMEVALUE(LEFT(Z560,FIND("(",Z560&amp;"(")-1))),ISNUMBER(TIMEVALUE(LEFT(Z562,FIND("(",Z562&amp;"(")-1))),IF(TIMEVALUE(LEFT(Z560,FIND("(",Z560&amp;"(")-1))&lt;=TIME(3,59,59),TIMEVALUE(LEFT(Z560,FIND("(",Z560&amp;"(")-1))+1,TIMEVALUE(LEFT(Z560,FIND("(",Z560&amp;"(")-1)))+60/1440&lt;IF(TIMEVALUE(LEFT(Z562,FIND("(",Z562&amp;"(")-1))&lt;=TIME(3,59,59),TIMEVALUE(LEFT(Z562,FIND("(",Z562&amp;"(")-1))+1,TIMEVALUE(LEFT(Z562,FIND("(",Z562&amp;"(")-1))))</formula>
    </cfRule>
  </conditionalFormatting>
  <conditionalFormatting sqref="N561:R561">
    <cfRule type="expression" priority="910" dxfId="4514">
      <formula>AND(ISNUMBER(TIMEVALUE(LEFT(N561,FIND("(",N561&amp;"(")-1))),ISNUMBER(TIMEVALUE(LEFT(N563,FIND("(",N563&amp;"(")-1))),IF(TIMEVALUE(LEFT(N561,FIND("(",N561&amp;"(")-1))&lt;=TIME(3,59,59),TIMEVALUE(LEFT(N561,FIND("(",N561&amp;"(")-1))+1,TIMEVALUE(LEFT(N561,FIND("(",N561&amp;"(")-1)))-60/1440&gt;IF(TIMEVALUE(LEFT(N563,FIND("(",N563&amp;"(")-1))&lt;=TIME(3,59,59),TIMEVALUE(LEFT(N563,FIND("(",N563&amp;"(")-1))+1,TIMEVALUE(LEFT(N563,FIND("(",N563&amp;"(")-1))))</formula>
    </cfRule>
  </conditionalFormatting>
  <conditionalFormatting sqref="Z561:AD561">
    <cfRule type="expression" priority="724" dxfId="4514">
      <formula>AND(ISNUMBER(TIMEVALUE(LEFT(Z561,FIND("(",Z561&amp;"(")-1))),ISNUMBER(TIMEVALUE(LEFT(Z563,FIND("(",Z563&amp;"(")-1))),IF(TIMEVALUE(LEFT(Z561,FIND("(",Z561&amp;"(")-1))&lt;=TIME(3,59,59),TIMEVALUE(LEFT(Z561,FIND("(",Z561&amp;"(")-1))+1,TIMEVALUE(LEFT(Z561,FIND("(",Z561&amp;"(")-1)))-60/1440&gt;IF(TIMEVALUE(LEFT(Z563,FIND("(",Z563&amp;"(")-1))&lt;=TIME(3,59,59),TIMEVALUE(LEFT(Z563,FIND("(",Z563&amp;"(")-1))+1,TIMEVALUE(LEFT(Z563,FIND("(",Z563&amp;"(")-1))))</formula>
    </cfRule>
  </conditionalFormatting>
  <conditionalFormatting sqref="N566:R566">
    <cfRule type="expression" priority="878" dxfId="4514">
      <formula>AND(ISNUMBER(TIMEVALUE(LEFT(N566,FIND("(",N566&amp;"(")-1))),ISNUMBER(TIMEVALUE(LEFT(N568,FIND("(",N568&amp;"(")-1))),IF(TIMEVALUE(LEFT(N566,FIND("(",N566&amp;"(")-1))&lt;=TIME(3,59,59),TIMEVALUE(LEFT(N566,FIND("(",N566&amp;"(")-1))+1,TIMEVALUE(LEFT(N566,FIND("(",N566&amp;"(")-1)))+60/1440&lt;IF(TIMEVALUE(LEFT(N568,FIND("(",N568&amp;"(")-1))&lt;=TIME(3,59,59),TIMEVALUE(LEFT(N568,FIND("(",N568&amp;"(")-1))+1,TIMEVALUE(LEFT(N568,FIND("(",N568&amp;"(")-1))))</formula>
    </cfRule>
  </conditionalFormatting>
  <conditionalFormatting sqref="Z566:AD566">
    <cfRule type="expression" priority="692" dxfId="4514">
      <formula>AND(ISNUMBER(TIMEVALUE(LEFT(Z566,FIND("(",Z566&amp;"(")-1))),ISNUMBER(TIMEVALUE(LEFT(Z568,FIND("(",Z568&amp;"(")-1))),IF(TIMEVALUE(LEFT(Z566,FIND("(",Z566&amp;"(")-1))&lt;=TIME(3,59,59),TIMEVALUE(LEFT(Z566,FIND("(",Z566&amp;"(")-1))+1,TIMEVALUE(LEFT(Z566,FIND("(",Z566&amp;"(")-1)))+60/1440&lt;IF(TIMEVALUE(LEFT(Z568,FIND("(",Z568&amp;"(")-1))&lt;=TIME(3,59,59),TIMEVALUE(LEFT(Z568,FIND("(",Z568&amp;"(")-1))+1,TIMEVALUE(LEFT(Z568,FIND("(",Z568&amp;"(")-1))))</formula>
    </cfRule>
  </conditionalFormatting>
  <conditionalFormatting sqref="N567:R567">
    <cfRule type="expression" priority="909" dxfId="4514">
      <formula>AND(ISNUMBER(TIMEVALUE(LEFT(N567,FIND("(",N567&amp;"(")-1))),ISNUMBER(TIMEVALUE(LEFT(N569,FIND("(",N569&amp;"(")-1))),IF(TIMEVALUE(LEFT(N567,FIND("(",N567&amp;"(")-1))&lt;=TIME(3,59,59),TIMEVALUE(LEFT(N567,FIND("(",N567&amp;"(")-1))+1,TIMEVALUE(LEFT(N567,FIND("(",N567&amp;"(")-1)))-60/1440&gt;IF(TIMEVALUE(LEFT(N569,FIND("(",N569&amp;"(")-1))&lt;=TIME(3,59,59),TIMEVALUE(LEFT(N569,FIND("(",N569&amp;"(")-1))+1,TIMEVALUE(LEFT(N569,FIND("(",N569&amp;"(")-1))))</formula>
    </cfRule>
  </conditionalFormatting>
  <conditionalFormatting sqref="Z567:AD567">
    <cfRule type="expression" priority="723" dxfId="4514">
      <formula>AND(ISNUMBER(TIMEVALUE(LEFT(Z567,FIND("(",Z567&amp;"(")-1))),ISNUMBER(TIMEVALUE(LEFT(Z569,FIND("(",Z569&amp;"(")-1))),IF(TIMEVALUE(LEFT(Z567,FIND("(",Z567&amp;"(")-1))&lt;=TIME(3,59,59),TIMEVALUE(LEFT(Z567,FIND("(",Z567&amp;"(")-1))+1,TIMEVALUE(LEFT(Z567,FIND("(",Z567&amp;"(")-1)))-60/1440&gt;IF(TIMEVALUE(LEFT(Z569,FIND("(",Z569&amp;"(")-1))&lt;=TIME(3,59,59),TIMEVALUE(LEFT(Z569,FIND("(",Z569&amp;"(")-1))+1,TIMEVALUE(LEFT(Z569,FIND("(",Z569&amp;"(")-1))))</formula>
    </cfRule>
  </conditionalFormatting>
  <conditionalFormatting sqref="N572:R572">
    <cfRule type="expression" priority="877" dxfId="4514">
      <formula>AND(ISNUMBER(TIMEVALUE(LEFT(N572,FIND("(",N572&amp;"(")-1))),ISNUMBER(TIMEVALUE(LEFT(N574,FIND("(",N574&amp;"(")-1))),IF(TIMEVALUE(LEFT(N572,FIND("(",N572&amp;"(")-1))&lt;=TIME(3,59,59),TIMEVALUE(LEFT(N572,FIND("(",N572&amp;"(")-1))+1,TIMEVALUE(LEFT(N572,FIND("(",N572&amp;"(")-1)))+60/1440&lt;IF(TIMEVALUE(LEFT(N574,FIND("(",N574&amp;"(")-1))&lt;=TIME(3,59,59),TIMEVALUE(LEFT(N574,FIND("(",N574&amp;"(")-1))+1,TIMEVALUE(LEFT(N574,FIND("(",N574&amp;"(")-1))))</formula>
    </cfRule>
  </conditionalFormatting>
  <conditionalFormatting sqref="Z572:AD572">
    <cfRule type="expression" priority="691" dxfId="4514">
      <formula>AND(ISNUMBER(TIMEVALUE(LEFT(Z572,FIND("(",Z572&amp;"(")-1))),ISNUMBER(TIMEVALUE(LEFT(Z574,FIND("(",Z574&amp;"(")-1))),IF(TIMEVALUE(LEFT(Z572,FIND("(",Z572&amp;"(")-1))&lt;=TIME(3,59,59),TIMEVALUE(LEFT(Z572,FIND("(",Z572&amp;"(")-1))+1,TIMEVALUE(LEFT(Z572,FIND("(",Z572&amp;"(")-1)))+60/1440&lt;IF(TIMEVALUE(LEFT(Z574,FIND("(",Z574&amp;"(")-1))&lt;=TIME(3,59,59),TIMEVALUE(LEFT(Z574,FIND("(",Z574&amp;"(")-1))+1,TIMEVALUE(LEFT(Z574,FIND("(",Z574&amp;"(")-1))))</formula>
    </cfRule>
  </conditionalFormatting>
  <conditionalFormatting sqref="N573:R573">
    <cfRule type="expression" priority="908" dxfId="4514">
      <formula>AND(ISNUMBER(TIMEVALUE(LEFT(N573,FIND("(",N573&amp;"(")-1))),ISNUMBER(TIMEVALUE(LEFT(N575,FIND("(",N575&amp;"(")-1))),IF(TIMEVALUE(LEFT(N573,FIND("(",N573&amp;"(")-1))&lt;=TIME(3,59,59),TIMEVALUE(LEFT(N573,FIND("(",N573&amp;"(")-1))+1,TIMEVALUE(LEFT(N573,FIND("(",N573&amp;"(")-1)))-60/1440&gt;IF(TIMEVALUE(LEFT(N575,FIND("(",N575&amp;"(")-1))&lt;=TIME(3,59,59),TIMEVALUE(LEFT(N575,FIND("(",N575&amp;"(")-1))+1,TIMEVALUE(LEFT(N575,FIND("(",N575&amp;"(")-1))))</formula>
    </cfRule>
  </conditionalFormatting>
  <conditionalFormatting sqref="Z573:AD573">
    <cfRule type="expression" priority="722" dxfId="4514">
      <formula>AND(ISNUMBER(TIMEVALUE(LEFT(Z573,FIND("(",Z573&amp;"(")-1))),ISNUMBER(TIMEVALUE(LEFT(Z575,FIND("(",Z575&amp;"(")-1))),IF(TIMEVALUE(LEFT(Z573,FIND("(",Z573&amp;"(")-1))&lt;=TIME(3,59,59),TIMEVALUE(LEFT(Z573,FIND("(",Z573&amp;"(")-1))+1,TIMEVALUE(LEFT(Z573,FIND("(",Z573&amp;"(")-1)))-60/1440&gt;IF(TIMEVALUE(LEFT(Z575,FIND("(",Z575&amp;"(")-1))&lt;=TIME(3,59,59),TIMEVALUE(LEFT(Z575,FIND("(",Z575&amp;"(")-1))+1,TIMEVALUE(LEFT(Z575,FIND("(",Z575&amp;"(")-1))))</formula>
    </cfRule>
  </conditionalFormatting>
  <conditionalFormatting sqref="N578:R578">
    <cfRule type="expression" priority="876" dxfId="4514">
      <formula>AND(ISNUMBER(TIMEVALUE(LEFT(N578,FIND("(",N578&amp;"(")-1))),ISNUMBER(TIMEVALUE(LEFT(N580,FIND("(",N580&amp;"(")-1))),IF(TIMEVALUE(LEFT(N578,FIND("(",N578&amp;"(")-1))&lt;=TIME(3,59,59),TIMEVALUE(LEFT(N578,FIND("(",N578&amp;"(")-1))+1,TIMEVALUE(LEFT(N578,FIND("(",N578&amp;"(")-1)))+60/1440&lt;IF(TIMEVALUE(LEFT(N580,FIND("(",N580&amp;"(")-1))&lt;=TIME(3,59,59),TIMEVALUE(LEFT(N580,FIND("(",N580&amp;"(")-1))+1,TIMEVALUE(LEFT(N580,FIND("(",N580&amp;"(")-1))))</formula>
    </cfRule>
  </conditionalFormatting>
  <conditionalFormatting sqref="Z578:AD578">
    <cfRule type="expression" priority="690" dxfId="4514">
      <formula>AND(ISNUMBER(TIMEVALUE(LEFT(Z578,FIND("(",Z578&amp;"(")-1))),ISNUMBER(TIMEVALUE(LEFT(Z580,FIND("(",Z580&amp;"(")-1))),IF(TIMEVALUE(LEFT(Z578,FIND("(",Z578&amp;"(")-1))&lt;=TIME(3,59,59),TIMEVALUE(LEFT(Z578,FIND("(",Z578&amp;"(")-1))+1,TIMEVALUE(LEFT(Z578,FIND("(",Z578&amp;"(")-1)))+60/1440&lt;IF(TIMEVALUE(LEFT(Z580,FIND("(",Z580&amp;"(")-1))&lt;=TIME(3,59,59),TIMEVALUE(LEFT(Z580,FIND("(",Z580&amp;"(")-1))+1,TIMEVALUE(LEFT(Z580,FIND("(",Z580&amp;"(")-1))))</formula>
    </cfRule>
  </conditionalFormatting>
  <conditionalFormatting sqref="N579:R579">
    <cfRule type="expression" priority="907" dxfId="4514">
      <formula>AND(ISNUMBER(TIMEVALUE(LEFT(N579,FIND("(",N579&amp;"(")-1))),ISNUMBER(TIMEVALUE(LEFT(N581,FIND("(",N581&amp;"(")-1))),IF(TIMEVALUE(LEFT(N579,FIND("(",N579&amp;"(")-1))&lt;=TIME(3,59,59),TIMEVALUE(LEFT(N579,FIND("(",N579&amp;"(")-1))+1,TIMEVALUE(LEFT(N579,FIND("(",N579&amp;"(")-1)))-60/1440&gt;IF(TIMEVALUE(LEFT(N581,FIND("(",N581&amp;"(")-1))&lt;=TIME(3,59,59),TIMEVALUE(LEFT(N581,FIND("(",N581&amp;"(")-1))+1,TIMEVALUE(LEFT(N581,FIND("(",N581&amp;"(")-1))))</formula>
    </cfRule>
  </conditionalFormatting>
  <conditionalFormatting sqref="Z579:AD579">
    <cfRule type="expression" priority="721" dxfId="4514">
      <formula>AND(ISNUMBER(TIMEVALUE(LEFT(Z579,FIND("(",Z579&amp;"(")-1))),ISNUMBER(TIMEVALUE(LEFT(Z581,FIND("(",Z581&amp;"(")-1))),IF(TIMEVALUE(LEFT(Z579,FIND("(",Z579&amp;"(")-1))&lt;=TIME(3,59,59),TIMEVALUE(LEFT(Z579,FIND("(",Z579&amp;"(")-1))+1,TIMEVALUE(LEFT(Z579,FIND("(",Z579&amp;"(")-1)))-60/1440&gt;IF(TIMEVALUE(LEFT(Z581,FIND("(",Z581&amp;"(")-1))&lt;=TIME(3,59,59),TIMEVALUE(LEFT(Z581,FIND("(",Z581&amp;"(")-1))+1,TIMEVALUE(LEFT(Z581,FIND("(",Z581&amp;"(")-1))))</formula>
    </cfRule>
  </conditionalFormatting>
  <conditionalFormatting sqref="N584:R584">
    <cfRule type="expression" priority="875" dxfId="4514">
      <formula>AND(ISNUMBER(TIMEVALUE(LEFT(N584,FIND("(",N584&amp;"(")-1))),ISNUMBER(TIMEVALUE(LEFT(N586,FIND("(",N586&amp;"(")-1))),IF(TIMEVALUE(LEFT(N584,FIND("(",N584&amp;"(")-1))&lt;=TIME(3,59,59),TIMEVALUE(LEFT(N584,FIND("(",N584&amp;"(")-1))+1,TIMEVALUE(LEFT(N584,FIND("(",N584&amp;"(")-1)))+60/1440&lt;IF(TIMEVALUE(LEFT(N586,FIND("(",N586&amp;"(")-1))&lt;=TIME(3,59,59),TIMEVALUE(LEFT(N586,FIND("(",N586&amp;"(")-1))+1,TIMEVALUE(LEFT(N586,FIND("(",N586&amp;"(")-1))))</formula>
    </cfRule>
  </conditionalFormatting>
  <conditionalFormatting sqref="Z584:AD584">
    <cfRule type="expression" priority="689" dxfId="4514">
      <formula>AND(ISNUMBER(TIMEVALUE(LEFT(Z584,FIND("(",Z584&amp;"(")-1))),ISNUMBER(TIMEVALUE(LEFT(Z586,FIND("(",Z586&amp;"(")-1))),IF(TIMEVALUE(LEFT(Z584,FIND("(",Z584&amp;"(")-1))&lt;=TIME(3,59,59),TIMEVALUE(LEFT(Z584,FIND("(",Z584&amp;"(")-1))+1,TIMEVALUE(LEFT(Z584,FIND("(",Z584&amp;"(")-1)))+60/1440&lt;IF(TIMEVALUE(LEFT(Z586,FIND("(",Z586&amp;"(")-1))&lt;=TIME(3,59,59),TIMEVALUE(LEFT(Z586,FIND("(",Z586&amp;"(")-1))+1,TIMEVALUE(LEFT(Z586,FIND("(",Z586&amp;"(")-1))))</formula>
    </cfRule>
  </conditionalFormatting>
  <conditionalFormatting sqref="N585:R585">
    <cfRule type="expression" priority="906" dxfId="4514">
      <formula>AND(ISNUMBER(TIMEVALUE(LEFT(N585,FIND("(",N585&amp;"(")-1))),ISNUMBER(TIMEVALUE(LEFT(N587,FIND("(",N587&amp;"(")-1))),IF(TIMEVALUE(LEFT(N585,FIND("(",N585&amp;"(")-1))&lt;=TIME(3,59,59),TIMEVALUE(LEFT(N585,FIND("(",N585&amp;"(")-1))+1,TIMEVALUE(LEFT(N585,FIND("(",N585&amp;"(")-1)))-60/1440&gt;IF(TIMEVALUE(LEFT(N587,FIND("(",N587&amp;"(")-1))&lt;=TIME(3,59,59),TIMEVALUE(LEFT(N587,FIND("(",N587&amp;"(")-1))+1,TIMEVALUE(LEFT(N587,FIND("(",N587&amp;"(")-1))))</formula>
    </cfRule>
  </conditionalFormatting>
  <conditionalFormatting sqref="Z585:AD585">
    <cfRule type="expression" priority="720" dxfId="4514">
      <formula>AND(ISNUMBER(TIMEVALUE(LEFT(Z585,FIND("(",Z585&amp;"(")-1))),ISNUMBER(TIMEVALUE(LEFT(Z587,FIND("(",Z587&amp;"(")-1))),IF(TIMEVALUE(LEFT(Z585,FIND("(",Z585&amp;"(")-1))&lt;=TIME(3,59,59),TIMEVALUE(LEFT(Z585,FIND("(",Z585&amp;"(")-1))+1,TIMEVALUE(LEFT(Z585,FIND("(",Z585&amp;"(")-1)))-60/1440&gt;IF(TIMEVALUE(LEFT(Z587,FIND("(",Z587&amp;"(")-1))&lt;=TIME(3,59,59),TIMEVALUE(LEFT(Z587,FIND("(",Z587&amp;"(")-1))+1,TIMEVALUE(LEFT(Z587,FIND("(",Z587&amp;"(")-1))))</formula>
    </cfRule>
  </conditionalFormatting>
  <conditionalFormatting sqref="N590:R590">
    <cfRule type="expression" priority="874" dxfId="4514">
      <formula>AND(ISNUMBER(TIMEVALUE(LEFT(N590,FIND("(",N590&amp;"(")-1))),ISNUMBER(TIMEVALUE(LEFT(N592,FIND("(",N592&amp;"(")-1))),IF(TIMEVALUE(LEFT(N590,FIND("(",N590&amp;"(")-1))&lt;=TIME(3,59,59),TIMEVALUE(LEFT(N590,FIND("(",N590&amp;"(")-1))+1,TIMEVALUE(LEFT(N590,FIND("(",N590&amp;"(")-1)))+60/1440&lt;IF(TIMEVALUE(LEFT(N592,FIND("(",N592&amp;"(")-1))&lt;=TIME(3,59,59),TIMEVALUE(LEFT(N592,FIND("(",N592&amp;"(")-1))+1,TIMEVALUE(LEFT(N592,FIND("(",N592&amp;"(")-1))))</formula>
    </cfRule>
  </conditionalFormatting>
  <conditionalFormatting sqref="Z590:AD590">
    <cfRule type="expression" priority="688" dxfId="4514">
      <formula>AND(ISNUMBER(TIMEVALUE(LEFT(Z590,FIND("(",Z590&amp;"(")-1))),ISNUMBER(TIMEVALUE(LEFT(Z592,FIND("(",Z592&amp;"(")-1))),IF(TIMEVALUE(LEFT(Z590,FIND("(",Z590&amp;"(")-1))&lt;=TIME(3,59,59),TIMEVALUE(LEFT(Z590,FIND("(",Z590&amp;"(")-1))+1,TIMEVALUE(LEFT(Z590,FIND("(",Z590&amp;"(")-1)))+60/1440&lt;IF(TIMEVALUE(LEFT(Z592,FIND("(",Z592&amp;"(")-1))&lt;=TIME(3,59,59),TIMEVALUE(LEFT(Z592,FIND("(",Z592&amp;"(")-1))+1,TIMEVALUE(LEFT(Z592,FIND("(",Z592&amp;"(")-1))))</formula>
    </cfRule>
  </conditionalFormatting>
  <conditionalFormatting sqref="N591:R591">
    <cfRule type="expression" priority="905" dxfId="4514">
      <formula>AND(ISNUMBER(TIMEVALUE(LEFT(N591,FIND("(",N591&amp;"(")-1))),ISNUMBER(TIMEVALUE(LEFT(N593,FIND("(",N593&amp;"(")-1))),IF(TIMEVALUE(LEFT(N591,FIND("(",N591&amp;"(")-1))&lt;=TIME(3,59,59),TIMEVALUE(LEFT(N591,FIND("(",N591&amp;"(")-1))+1,TIMEVALUE(LEFT(N591,FIND("(",N591&amp;"(")-1)))-60/1440&gt;IF(TIMEVALUE(LEFT(N593,FIND("(",N593&amp;"(")-1))&lt;=TIME(3,59,59),TIMEVALUE(LEFT(N593,FIND("(",N593&amp;"(")-1))+1,TIMEVALUE(LEFT(N593,FIND("(",N593&amp;"(")-1))))</formula>
    </cfRule>
  </conditionalFormatting>
  <conditionalFormatting sqref="Z591:AD591">
    <cfRule type="expression" priority="719" dxfId="4514">
      <formula>AND(ISNUMBER(TIMEVALUE(LEFT(Z591,FIND("(",Z591&amp;"(")-1))),ISNUMBER(TIMEVALUE(LEFT(Z593,FIND("(",Z593&amp;"(")-1))),IF(TIMEVALUE(LEFT(Z591,FIND("(",Z591&amp;"(")-1))&lt;=TIME(3,59,59),TIMEVALUE(LEFT(Z591,FIND("(",Z591&amp;"(")-1))+1,TIMEVALUE(LEFT(Z591,FIND("(",Z591&amp;"(")-1)))-60/1440&gt;IF(TIMEVALUE(LEFT(Z593,FIND("(",Z593&amp;"(")-1))&lt;=TIME(3,59,59),TIMEVALUE(LEFT(Z593,FIND("(",Z593&amp;"(")-1))+1,TIMEVALUE(LEFT(Z593,FIND("(",Z593&amp;"(")-1))))</formula>
    </cfRule>
  </conditionalFormatting>
  <conditionalFormatting sqref="N596:R596">
    <cfRule type="expression" priority="873" dxfId="4514">
      <formula>AND(ISNUMBER(TIMEVALUE(LEFT(N596,FIND("(",N596&amp;"(")-1))),ISNUMBER(TIMEVALUE(LEFT(N598,FIND("(",N598&amp;"(")-1))),IF(TIMEVALUE(LEFT(N596,FIND("(",N596&amp;"(")-1))&lt;=TIME(3,59,59),TIMEVALUE(LEFT(N596,FIND("(",N596&amp;"(")-1))+1,TIMEVALUE(LEFT(N596,FIND("(",N596&amp;"(")-1)))+60/1440&lt;IF(TIMEVALUE(LEFT(N598,FIND("(",N598&amp;"(")-1))&lt;=TIME(3,59,59),TIMEVALUE(LEFT(N598,FIND("(",N598&amp;"(")-1))+1,TIMEVALUE(LEFT(N598,FIND("(",N598&amp;"(")-1))))</formula>
    </cfRule>
  </conditionalFormatting>
  <conditionalFormatting sqref="Z596:AD596">
    <cfRule type="expression" priority="687" dxfId="4514">
      <formula>AND(ISNUMBER(TIMEVALUE(LEFT(Z596,FIND("(",Z596&amp;"(")-1))),ISNUMBER(TIMEVALUE(LEFT(Z598,FIND("(",Z598&amp;"(")-1))),IF(TIMEVALUE(LEFT(Z596,FIND("(",Z596&amp;"(")-1))&lt;=TIME(3,59,59),TIMEVALUE(LEFT(Z596,FIND("(",Z596&amp;"(")-1))+1,TIMEVALUE(LEFT(Z596,FIND("(",Z596&amp;"(")-1)))+60/1440&lt;IF(TIMEVALUE(LEFT(Z598,FIND("(",Z598&amp;"(")-1))&lt;=TIME(3,59,59),TIMEVALUE(LEFT(Z598,FIND("(",Z598&amp;"(")-1))+1,TIMEVALUE(LEFT(Z598,FIND("(",Z598&amp;"(")-1))))</formula>
    </cfRule>
  </conditionalFormatting>
  <conditionalFormatting sqref="N597:R597">
    <cfRule type="expression" priority="904" dxfId="4514">
      <formula>AND(ISNUMBER(TIMEVALUE(LEFT(N597,FIND("(",N597&amp;"(")-1))),ISNUMBER(TIMEVALUE(LEFT(N599,FIND("(",N599&amp;"(")-1))),IF(TIMEVALUE(LEFT(N597,FIND("(",N597&amp;"(")-1))&lt;=TIME(3,59,59),TIMEVALUE(LEFT(N597,FIND("(",N597&amp;"(")-1))+1,TIMEVALUE(LEFT(N597,FIND("(",N597&amp;"(")-1)))-60/1440&gt;IF(TIMEVALUE(LEFT(N599,FIND("(",N599&amp;"(")-1))&lt;=TIME(3,59,59),TIMEVALUE(LEFT(N599,FIND("(",N599&amp;"(")-1))+1,TIMEVALUE(LEFT(N599,FIND("(",N599&amp;"(")-1))))</formula>
    </cfRule>
  </conditionalFormatting>
  <conditionalFormatting sqref="Z597:AD597">
    <cfRule type="expression" priority="718" dxfId="4514">
      <formula>AND(ISNUMBER(TIMEVALUE(LEFT(Z597,FIND("(",Z597&amp;"(")-1))),ISNUMBER(TIMEVALUE(LEFT(Z599,FIND("(",Z599&amp;"(")-1))),IF(TIMEVALUE(LEFT(Z597,FIND("(",Z597&amp;"(")-1))&lt;=TIME(3,59,59),TIMEVALUE(LEFT(Z597,FIND("(",Z597&amp;"(")-1))+1,TIMEVALUE(LEFT(Z597,FIND("(",Z597&amp;"(")-1)))-60/1440&gt;IF(TIMEVALUE(LEFT(Z599,FIND("(",Z599&amp;"(")-1))&lt;=TIME(3,59,59),TIMEVALUE(LEFT(Z599,FIND("(",Z599&amp;"(")-1))+1,TIMEVALUE(LEFT(Z599,FIND("(",Z599&amp;"(")-1))))</formula>
    </cfRule>
  </conditionalFormatting>
  <conditionalFormatting sqref="N602:R602">
    <cfRule type="expression" priority="872" dxfId="4514">
      <formula>AND(ISNUMBER(TIMEVALUE(LEFT(N602,FIND("(",N602&amp;"(")-1))),ISNUMBER(TIMEVALUE(LEFT(N604,FIND("(",N604&amp;"(")-1))),IF(TIMEVALUE(LEFT(N602,FIND("(",N602&amp;"(")-1))&lt;=TIME(3,59,59),TIMEVALUE(LEFT(N602,FIND("(",N602&amp;"(")-1))+1,TIMEVALUE(LEFT(N602,FIND("(",N602&amp;"(")-1)))+60/1440&lt;IF(TIMEVALUE(LEFT(N604,FIND("(",N604&amp;"(")-1))&lt;=TIME(3,59,59),TIMEVALUE(LEFT(N604,FIND("(",N604&amp;"(")-1))+1,TIMEVALUE(LEFT(N604,FIND("(",N604&amp;"(")-1))))</formula>
    </cfRule>
  </conditionalFormatting>
  <conditionalFormatting sqref="Z602:AD602">
    <cfRule type="expression" priority="686" dxfId="4514">
      <formula>AND(ISNUMBER(TIMEVALUE(LEFT(Z602,FIND("(",Z602&amp;"(")-1))),ISNUMBER(TIMEVALUE(LEFT(Z604,FIND("(",Z604&amp;"(")-1))),IF(TIMEVALUE(LEFT(Z602,FIND("(",Z602&amp;"(")-1))&lt;=TIME(3,59,59),TIMEVALUE(LEFT(Z602,FIND("(",Z602&amp;"(")-1))+1,TIMEVALUE(LEFT(Z602,FIND("(",Z602&amp;"(")-1)))+60/1440&lt;IF(TIMEVALUE(LEFT(Z604,FIND("(",Z604&amp;"(")-1))&lt;=TIME(3,59,59),TIMEVALUE(LEFT(Z604,FIND("(",Z604&amp;"(")-1))+1,TIMEVALUE(LEFT(Z604,FIND("(",Z604&amp;"(")-1))))</formula>
    </cfRule>
  </conditionalFormatting>
  <conditionalFormatting sqref="N603:R603">
    <cfRule type="expression" priority="903" dxfId="4514">
      <formula>AND(ISNUMBER(TIMEVALUE(LEFT(N603,FIND("(",N603&amp;"(")-1))),ISNUMBER(TIMEVALUE(LEFT(N605,FIND("(",N605&amp;"(")-1))),IF(TIMEVALUE(LEFT(N603,FIND("(",N603&amp;"(")-1))&lt;=TIME(3,59,59),TIMEVALUE(LEFT(N603,FIND("(",N603&amp;"(")-1))+1,TIMEVALUE(LEFT(N603,FIND("(",N603&amp;"(")-1)))-60/1440&gt;IF(TIMEVALUE(LEFT(N605,FIND("(",N605&amp;"(")-1))&lt;=TIME(3,59,59),TIMEVALUE(LEFT(N605,FIND("(",N605&amp;"(")-1))+1,TIMEVALUE(LEFT(N605,FIND("(",N605&amp;"(")-1))))</formula>
    </cfRule>
  </conditionalFormatting>
  <conditionalFormatting sqref="Z603:AD603">
    <cfRule type="expression" priority="717" dxfId="4514">
      <formula>AND(ISNUMBER(TIMEVALUE(LEFT(Z603,FIND("(",Z603&amp;"(")-1))),ISNUMBER(TIMEVALUE(LEFT(Z605,FIND("(",Z605&amp;"(")-1))),IF(TIMEVALUE(LEFT(Z603,FIND("(",Z603&amp;"(")-1))&lt;=TIME(3,59,59),TIMEVALUE(LEFT(Z603,FIND("(",Z603&amp;"(")-1))+1,TIMEVALUE(LEFT(Z603,FIND("(",Z603&amp;"(")-1)))-60/1440&gt;IF(TIMEVALUE(LEFT(Z605,FIND("(",Z605&amp;"(")-1))&lt;=TIME(3,59,59),TIMEVALUE(LEFT(Z605,FIND("(",Z605&amp;"(")-1))+1,TIMEVALUE(LEFT(Z605,FIND("(",Z605&amp;"(")-1))))</formula>
    </cfRule>
  </conditionalFormatting>
  <conditionalFormatting sqref="N608:R608">
    <cfRule type="expression" priority="871" dxfId="4514">
      <formula>AND(ISNUMBER(TIMEVALUE(LEFT(N608,FIND("(",N608&amp;"(")-1))),ISNUMBER(TIMEVALUE(LEFT(N610,FIND("(",N610&amp;"(")-1))),IF(TIMEVALUE(LEFT(N608,FIND("(",N608&amp;"(")-1))&lt;=TIME(3,59,59),TIMEVALUE(LEFT(N608,FIND("(",N608&amp;"(")-1))+1,TIMEVALUE(LEFT(N608,FIND("(",N608&amp;"(")-1)))+60/1440&lt;IF(TIMEVALUE(LEFT(N610,FIND("(",N610&amp;"(")-1))&lt;=TIME(3,59,59),TIMEVALUE(LEFT(N610,FIND("(",N610&amp;"(")-1))+1,TIMEVALUE(LEFT(N610,FIND("(",N610&amp;"(")-1))))</formula>
    </cfRule>
  </conditionalFormatting>
  <conditionalFormatting sqref="Z608:AD608">
    <cfRule type="expression" priority="685" dxfId="4514">
      <formula>AND(ISNUMBER(TIMEVALUE(LEFT(Z608,FIND("(",Z608&amp;"(")-1))),ISNUMBER(TIMEVALUE(LEFT(Z610,FIND("(",Z610&amp;"(")-1))),IF(TIMEVALUE(LEFT(Z608,FIND("(",Z608&amp;"(")-1))&lt;=TIME(3,59,59),TIMEVALUE(LEFT(Z608,FIND("(",Z608&amp;"(")-1))+1,TIMEVALUE(LEFT(Z608,FIND("(",Z608&amp;"(")-1)))+60/1440&lt;IF(TIMEVALUE(LEFT(Z610,FIND("(",Z610&amp;"(")-1))&lt;=TIME(3,59,59),TIMEVALUE(LEFT(Z610,FIND("(",Z610&amp;"(")-1))+1,TIMEVALUE(LEFT(Z610,FIND("(",Z610&amp;"(")-1))))</formula>
    </cfRule>
  </conditionalFormatting>
  <conditionalFormatting sqref="N609:R609">
    <cfRule type="expression" priority="902" dxfId="4514">
      <formula>AND(ISNUMBER(TIMEVALUE(LEFT(N609,FIND("(",N609&amp;"(")-1))),ISNUMBER(TIMEVALUE(LEFT(N611,FIND("(",N611&amp;"(")-1))),IF(TIMEVALUE(LEFT(N609,FIND("(",N609&amp;"(")-1))&lt;=TIME(3,59,59),TIMEVALUE(LEFT(N609,FIND("(",N609&amp;"(")-1))+1,TIMEVALUE(LEFT(N609,FIND("(",N609&amp;"(")-1)))-60/1440&gt;IF(TIMEVALUE(LEFT(N611,FIND("(",N611&amp;"(")-1))&lt;=TIME(3,59,59),TIMEVALUE(LEFT(N611,FIND("(",N611&amp;"(")-1))+1,TIMEVALUE(LEFT(N611,FIND("(",N611&amp;"(")-1))))</formula>
    </cfRule>
  </conditionalFormatting>
  <conditionalFormatting sqref="Z609:AD609">
    <cfRule type="expression" priority="716" dxfId="4514">
      <formula>AND(ISNUMBER(TIMEVALUE(LEFT(Z609,FIND("(",Z609&amp;"(")-1))),ISNUMBER(TIMEVALUE(LEFT(Z611,FIND("(",Z611&amp;"(")-1))),IF(TIMEVALUE(LEFT(Z609,FIND("(",Z609&amp;"(")-1))&lt;=TIME(3,59,59),TIMEVALUE(LEFT(Z609,FIND("(",Z609&amp;"(")-1))+1,TIMEVALUE(LEFT(Z609,FIND("(",Z609&amp;"(")-1)))-60/1440&gt;IF(TIMEVALUE(LEFT(Z611,FIND("(",Z611&amp;"(")-1))&lt;=TIME(3,59,59),TIMEVALUE(LEFT(Z611,FIND("(",Z611&amp;"(")-1))+1,TIMEVALUE(LEFT(Z611,FIND("(",Z611&amp;"(")-1))))</formula>
    </cfRule>
  </conditionalFormatting>
  <conditionalFormatting sqref="N614:R614">
    <cfRule type="expression" priority="870" dxfId="4514">
      <formula>AND(ISNUMBER(TIMEVALUE(LEFT(N614,FIND("(",N614&amp;"(")-1))),ISNUMBER(TIMEVALUE(LEFT(N616,FIND("(",N616&amp;"(")-1))),IF(TIMEVALUE(LEFT(N614,FIND("(",N614&amp;"(")-1))&lt;=TIME(3,59,59),TIMEVALUE(LEFT(N614,FIND("(",N614&amp;"(")-1))+1,TIMEVALUE(LEFT(N614,FIND("(",N614&amp;"(")-1)))+60/1440&lt;IF(TIMEVALUE(LEFT(N616,FIND("(",N616&amp;"(")-1))&lt;=TIME(3,59,59),TIMEVALUE(LEFT(N616,FIND("(",N616&amp;"(")-1))+1,TIMEVALUE(LEFT(N616,FIND("(",N616&amp;"(")-1))))</formula>
    </cfRule>
  </conditionalFormatting>
  <conditionalFormatting sqref="Z614:AD614">
    <cfRule type="expression" priority="684" dxfId="4514">
      <formula>AND(ISNUMBER(TIMEVALUE(LEFT(Z614,FIND("(",Z614&amp;"(")-1))),ISNUMBER(TIMEVALUE(LEFT(Z616,FIND("(",Z616&amp;"(")-1))),IF(TIMEVALUE(LEFT(Z614,FIND("(",Z614&amp;"(")-1))&lt;=TIME(3,59,59),TIMEVALUE(LEFT(Z614,FIND("(",Z614&amp;"(")-1))+1,TIMEVALUE(LEFT(Z614,FIND("(",Z614&amp;"(")-1)))+60/1440&lt;IF(TIMEVALUE(LEFT(Z616,FIND("(",Z616&amp;"(")-1))&lt;=TIME(3,59,59),TIMEVALUE(LEFT(Z616,FIND("(",Z616&amp;"(")-1))+1,TIMEVALUE(LEFT(Z616,FIND("(",Z616&amp;"(")-1))))</formula>
    </cfRule>
  </conditionalFormatting>
  <conditionalFormatting sqref="N615:R615">
    <cfRule type="expression" priority="901" dxfId="4514">
      <formula>AND(ISNUMBER(TIMEVALUE(LEFT(N615,FIND("(",N615&amp;"(")-1))),ISNUMBER(TIMEVALUE(LEFT(N617,FIND("(",N617&amp;"(")-1))),IF(TIMEVALUE(LEFT(N615,FIND("(",N615&amp;"(")-1))&lt;=TIME(3,59,59),TIMEVALUE(LEFT(N615,FIND("(",N615&amp;"(")-1))+1,TIMEVALUE(LEFT(N615,FIND("(",N615&amp;"(")-1)))-60/1440&gt;IF(TIMEVALUE(LEFT(N617,FIND("(",N617&amp;"(")-1))&lt;=TIME(3,59,59),TIMEVALUE(LEFT(N617,FIND("(",N617&amp;"(")-1))+1,TIMEVALUE(LEFT(N617,FIND("(",N617&amp;"(")-1))))</formula>
    </cfRule>
  </conditionalFormatting>
  <conditionalFormatting sqref="Z615:AD615">
    <cfRule type="expression" priority="715" dxfId="4514">
      <formula>AND(ISNUMBER(TIMEVALUE(LEFT(Z615,FIND("(",Z615&amp;"(")-1))),ISNUMBER(TIMEVALUE(LEFT(Z617,FIND("(",Z617&amp;"(")-1))),IF(TIMEVALUE(LEFT(Z615,FIND("(",Z615&amp;"(")-1))&lt;=TIME(3,59,59),TIMEVALUE(LEFT(Z615,FIND("(",Z615&amp;"(")-1))+1,TIMEVALUE(LEFT(Z615,FIND("(",Z615&amp;"(")-1)))-60/1440&gt;IF(TIMEVALUE(LEFT(Z617,FIND("(",Z617&amp;"(")-1))&lt;=TIME(3,59,59),TIMEVALUE(LEFT(Z617,FIND("(",Z617&amp;"(")-1))+1,TIMEVALUE(LEFT(Z617,FIND("(",Z617&amp;"(")-1))))</formula>
    </cfRule>
  </conditionalFormatting>
  <conditionalFormatting sqref="N620:R620">
    <cfRule type="expression" priority="869" dxfId="4514">
      <formula>AND(ISNUMBER(TIMEVALUE(LEFT(N620,FIND("(",N620&amp;"(")-1))),ISNUMBER(TIMEVALUE(LEFT(N622,FIND("(",N622&amp;"(")-1))),IF(TIMEVALUE(LEFT(N620,FIND("(",N620&amp;"(")-1))&lt;=TIME(3,59,59),TIMEVALUE(LEFT(N620,FIND("(",N620&amp;"(")-1))+1,TIMEVALUE(LEFT(N620,FIND("(",N620&amp;"(")-1)))+60/1440&lt;IF(TIMEVALUE(LEFT(N622,FIND("(",N622&amp;"(")-1))&lt;=TIME(3,59,59),TIMEVALUE(LEFT(N622,FIND("(",N622&amp;"(")-1))+1,TIMEVALUE(LEFT(N622,FIND("(",N622&amp;"(")-1))))</formula>
    </cfRule>
  </conditionalFormatting>
  <conditionalFormatting sqref="Z620:AD620">
    <cfRule type="expression" priority="683" dxfId="4514">
      <formula>AND(ISNUMBER(TIMEVALUE(LEFT(Z620,FIND("(",Z620&amp;"(")-1))),ISNUMBER(TIMEVALUE(LEFT(Z622,FIND("(",Z622&amp;"(")-1))),IF(TIMEVALUE(LEFT(Z620,FIND("(",Z620&amp;"(")-1))&lt;=TIME(3,59,59),TIMEVALUE(LEFT(Z620,FIND("(",Z620&amp;"(")-1))+1,TIMEVALUE(LEFT(Z620,FIND("(",Z620&amp;"(")-1)))+60/1440&lt;IF(TIMEVALUE(LEFT(Z622,FIND("(",Z622&amp;"(")-1))&lt;=TIME(3,59,59),TIMEVALUE(LEFT(Z622,FIND("(",Z622&amp;"(")-1))+1,TIMEVALUE(LEFT(Z622,FIND("(",Z622&amp;"(")-1))))</formula>
    </cfRule>
  </conditionalFormatting>
  <conditionalFormatting sqref="N621:R621">
    <cfRule type="expression" priority="900" dxfId="4514">
      <formula>AND(ISNUMBER(TIMEVALUE(LEFT(N621,FIND("(",N621&amp;"(")-1))),ISNUMBER(TIMEVALUE(LEFT(N623,FIND("(",N623&amp;"(")-1))),IF(TIMEVALUE(LEFT(N621,FIND("(",N621&amp;"(")-1))&lt;=TIME(3,59,59),TIMEVALUE(LEFT(N621,FIND("(",N621&amp;"(")-1))+1,TIMEVALUE(LEFT(N621,FIND("(",N621&amp;"(")-1)))-60/1440&gt;IF(TIMEVALUE(LEFT(N623,FIND("(",N623&amp;"(")-1))&lt;=TIME(3,59,59),TIMEVALUE(LEFT(N623,FIND("(",N623&amp;"(")-1))+1,TIMEVALUE(LEFT(N623,FIND("(",N623&amp;"(")-1))))</formula>
    </cfRule>
  </conditionalFormatting>
  <conditionalFormatting sqref="Z621:AD621">
    <cfRule type="expression" priority="714" dxfId="4514">
      <formula>AND(ISNUMBER(TIMEVALUE(LEFT(Z621,FIND("(",Z621&amp;"(")-1))),ISNUMBER(TIMEVALUE(LEFT(Z623,FIND("(",Z623&amp;"(")-1))),IF(TIMEVALUE(LEFT(Z621,FIND("(",Z621&amp;"(")-1))&lt;=TIME(3,59,59),TIMEVALUE(LEFT(Z621,FIND("(",Z621&amp;"(")-1))+1,TIMEVALUE(LEFT(Z621,FIND("(",Z621&amp;"(")-1)))-60/1440&gt;IF(TIMEVALUE(LEFT(Z623,FIND("(",Z623&amp;"(")-1))&lt;=TIME(3,59,59),TIMEVALUE(LEFT(Z623,FIND("(",Z623&amp;"(")-1))+1,TIMEVALUE(LEFT(Z623,FIND("(",Z623&amp;"(")-1))))</formula>
    </cfRule>
  </conditionalFormatting>
  <conditionalFormatting sqref="N626:R626">
    <cfRule type="expression" priority="868" dxfId="4514">
      <formula>AND(ISNUMBER(TIMEVALUE(LEFT(N626,FIND("(",N626&amp;"(")-1))),ISNUMBER(TIMEVALUE(LEFT(N628,FIND("(",N628&amp;"(")-1))),IF(TIMEVALUE(LEFT(N626,FIND("(",N626&amp;"(")-1))&lt;=TIME(3,59,59),TIMEVALUE(LEFT(N626,FIND("(",N626&amp;"(")-1))+1,TIMEVALUE(LEFT(N626,FIND("(",N626&amp;"(")-1)))+60/1440&lt;IF(TIMEVALUE(LEFT(N628,FIND("(",N628&amp;"(")-1))&lt;=TIME(3,59,59),TIMEVALUE(LEFT(N628,FIND("(",N628&amp;"(")-1))+1,TIMEVALUE(LEFT(N628,FIND("(",N628&amp;"(")-1))))</formula>
    </cfRule>
  </conditionalFormatting>
  <conditionalFormatting sqref="Z626:AD626">
    <cfRule type="expression" priority="682" dxfId="4514">
      <formula>AND(ISNUMBER(TIMEVALUE(LEFT(Z626,FIND("(",Z626&amp;"(")-1))),ISNUMBER(TIMEVALUE(LEFT(Z628,FIND("(",Z628&amp;"(")-1))),IF(TIMEVALUE(LEFT(Z626,FIND("(",Z626&amp;"(")-1))&lt;=TIME(3,59,59),TIMEVALUE(LEFT(Z626,FIND("(",Z626&amp;"(")-1))+1,TIMEVALUE(LEFT(Z626,FIND("(",Z626&amp;"(")-1)))+60/1440&lt;IF(TIMEVALUE(LEFT(Z628,FIND("(",Z628&amp;"(")-1))&lt;=TIME(3,59,59),TIMEVALUE(LEFT(Z628,FIND("(",Z628&amp;"(")-1))+1,TIMEVALUE(LEFT(Z628,FIND("(",Z628&amp;"(")-1))))</formula>
    </cfRule>
  </conditionalFormatting>
  <conditionalFormatting sqref="N627:R627">
    <cfRule type="expression" priority="899" dxfId="4514">
      <formula>AND(ISNUMBER(TIMEVALUE(LEFT(N627,FIND("(",N627&amp;"(")-1))),ISNUMBER(TIMEVALUE(LEFT(N629,FIND("(",N629&amp;"(")-1))),IF(TIMEVALUE(LEFT(N627,FIND("(",N627&amp;"(")-1))&lt;=TIME(3,59,59),TIMEVALUE(LEFT(N627,FIND("(",N627&amp;"(")-1))+1,TIMEVALUE(LEFT(N627,FIND("(",N627&amp;"(")-1)))-60/1440&gt;IF(TIMEVALUE(LEFT(N629,FIND("(",N629&amp;"(")-1))&lt;=TIME(3,59,59),TIMEVALUE(LEFT(N629,FIND("(",N629&amp;"(")-1))+1,TIMEVALUE(LEFT(N629,FIND("(",N629&amp;"(")-1))))</formula>
    </cfRule>
  </conditionalFormatting>
  <conditionalFormatting sqref="Z627:AD627">
    <cfRule type="expression" priority="713" dxfId="4514">
      <formula>AND(ISNUMBER(TIMEVALUE(LEFT(Z627,FIND("(",Z627&amp;"(")-1))),ISNUMBER(TIMEVALUE(LEFT(Z629,FIND("(",Z629&amp;"(")-1))),IF(TIMEVALUE(LEFT(Z627,FIND("(",Z627&amp;"(")-1))&lt;=TIME(3,59,59),TIMEVALUE(LEFT(Z627,FIND("(",Z627&amp;"(")-1))+1,TIMEVALUE(LEFT(Z627,FIND("(",Z627&amp;"(")-1)))-60/1440&gt;IF(TIMEVALUE(LEFT(Z629,FIND("(",Z629&amp;"(")-1))&lt;=TIME(3,59,59),TIMEVALUE(LEFT(Z629,FIND("(",Z629&amp;"(")-1))+1,TIMEVALUE(LEFT(Z629,FIND("(",Z629&amp;"(")-1))))</formula>
    </cfRule>
  </conditionalFormatting>
  <conditionalFormatting sqref="N632:R632">
    <cfRule type="expression" priority="867" dxfId="4514">
      <formula>AND(ISNUMBER(TIMEVALUE(LEFT(N632,FIND("(",N632&amp;"(")-1))),ISNUMBER(TIMEVALUE(LEFT(N634,FIND("(",N634&amp;"(")-1))),IF(TIMEVALUE(LEFT(N632,FIND("(",N632&amp;"(")-1))&lt;=TIME(3,59,59),TIMEVALUE(LEFT(N632,FIND("(",N632&amp;"(")-1))+1,TIMEVALUE(LEFT(N632,FIND("(",N632&amp;"(")-1)))+60/1440&lt;IF(TIMEVALUE(LEFT(N634,FIND("(",N634&amp;"(")-1))&lt;=TIME(3,59,59),TIMEVALUE(LEFT(N634,FIND("(",N634&amp;"(")-1))+1,TIMEVALUE(LEFT(N634,FIND("(",N634&amp;"(")-1))))</formula>
    </cfRule>
  </conditionalFormatting>
  <conditionalFormatting sqref="Z632:AD632">
    <cfRule type="expression" priority="681" dxfId="4514">
      <formula>AND(ISNUMBER(TIMEVALUE(LEFT(Z632,FIND("(",Z632&amp;"(")-1))),ISNUMBER(TIMEVALUE(LEFT(Z634,FIND("(",Z634&amp;"(")-1))),IF(TIMEVALUE(LEFT(Z632,FIND("(",Z632&amp;"(")-1))&lt;=TIME(3,59,59),TIMEVALUE(LEFT(Z632,FIND("(",Z632&amp;"(")-1))+1,TIMEVALUE(LEFT(Z632,FIND("(",Z632&amp;"(")-1)))+60/1440&lt;IF(TIMEVALUE(LEFT(Z634,FIND("(",Z634&amp;"(")-1))&lt;=TIME(3,59,59),TIMEVALUE(LEFT(Z634,FIND("(",Z634&amp;"(")-1))+1,TIMEVALUE(LEFT(Z634,FIND("(",Z634&amp;"(")-1))))</formula>
    </cfRule>
  </conditionalFormatting>
  <conditionalFormatting sqref="N633:R633">
    <cfRule type="expression" priority="898" dxfId="4514">
      <formula>AND(ISNUMBER(TIMEVALUE(LEFT(N633,FIND("(",N633&amp;"(")-1))),ISNUMBER(TIMEVALUE(LEFT(N635,FIND("(",N635&amp;"(")-1))),IF(TIMEVALUE(LEFT(N633,FIND("(",N633&amp;"(")-1))&lt;=TIME(3,59,59),TIMEVALUE(LEFT(N633,FIND("(",N633&amp;"(")-1))+1,TIMEVALUE(LEFT(N633,FIND("(",N633&amp;"(")-1)))-60/1440&gt;IF(TIMEVALUE(LEFT(N635,FIND("(",N635&amp;"(")-1))&lt;=TIME(3,59,59),TIMEVALUE(LEFT(N635,FIND("(",N635&amp;"(")-1))+1,TIMEVALUE(LEFT(N635,FIND("(",N635&amp;"(")-1))))</formula>
    </cfRule>
  </conditionalFormatting>
  <conditionalFormatting sqref="Z633:AD633">
    <cfRule type="expression" priority="712" dxfId="4514">
      <formula>AND(ISNUMBER(TIMEVALUE(LEFT(Z633,FIND("(",Z633&amp;"(")-1))),ISNUMBER(TIMEVALUE(LEFT(Z635,FIND("(",Z635&amp;"(")-1))),IF(TIMEVALUE(LEFT(Z633,FIND("(",Z633&amp;"(")-1))&lt;=TIME(3,59,59),TIMEVALUE(LEFT(Z633,FIND("(",Z633&amp;"(")-1))+1,TIMEVALUE(LEFT(Z633,FIND("(",Z633&amp;"(")-1)))-60/1440&gt;IF(TIMEVALUE(LEFT(Z635,FIND("(",Z635&amp;"(")-1))&lt;=TIME(3,59,59),TIMEVALUE(LEFT(Z635,FIND("(",Z635&amp;"(")-1))+1,TIMEVALUE(LEFT(Z635,FIND("(",Z635&amp;"(")-1))))</formula>
    </cfRule>
  </conditionalFormatting>
  <conditionalFormatting sqref="N638:R638">
    <cfRule type="expression" priority="866" dxfId="4514">
      <formula>AND(ISNUMBER(TIMEVALUE(LEFT(N638,FIND("(",N638&amp;"(")-1))),ISNUMBER(TIMEVALUE(LEFT(N640,FIND("(",N640&amp;"(")-1))),IF(TIMEVALUE(LEFT(N638,FIND("(",N638&amp;"(")-1))&lt;=TIME(3,59,59),TIMEVALUE(LEFT(N638,FIND("(",N638&amp;"(")-1))+1,TIMEVALUE(LEFT(N638,FIND("(",N638&amp;"(")-1)))+60/1440&lt;IF(TIMEVALUE(LEFT(N640,FIND("(",N640&amp;"(")-1))&lt;=TIME(3,59,59),TIMEVALUE(LEFT(N640,FIND("(",N640&amp;"(")-1))+1,TIMEVALUE(LEFT(N640,FIND("(",N640&amp;"(")-1))))</formula>
    </cfRule>
  </conditionalFormatting>
  <conditionalFormatting sqref="Z638:AD638">
    <cfRule type="expression" priority="680" dxfId="4514">
      <formula>AND(ISNUMBER(TIMEVALUE(LEFT(Z638,FIND("(",Z638&amp;"(")-1))),ISNUMBER(TIMEVALUE(LEFT(Z640,FIND("(",Z640&amp;"(")-1))),IF(TIMEVALUE(LEFT(Z638,FIND("(",Z638&amp;"(")-1))&lt;=TIME(3,59,59),TIMEVALUE(LEFT(Z638,FIND("(",Z638&amp;"(")-1))+1,TIMEVALUE(LEFT(Z638,FIND("(",Z638&amp;"(")-1)))+60/1440&lt;IF(TIMEVALUE(LEFT(Z640,FIND("(",Z640&amp;"(")-1))&lt;=TIME(3,59,59),TIMEVALUE(LEFT(Z640,FIND("(",Z640&amp;"(")-1))+1,TIMEVALUE(LEFT(Z640,FIND("(",Z640&amp;"(")-1))))</formula>
    </cfRule>
  </conditionalFormatting>
  <conditionalFormatting sqref="N639:R639">
    <cfRule type="expression" priority="897" dxfId="4514">
      <formula>AND(ISNUMBER(TIMEVALUE(LEFT(N639,FIND("(",N639&amp;"(")-1))),ISNUMBER(TIMEVALUE(LEFT(N641,FIND("(",N641&amp;"(")-1))),IF(TIMEVALUE(LEFT(N639,FIND("(",N639&amp;"(")-1))&lt;=TIME(3,59,59),TIMEVALUE(LEFT(N639,FIND("(",N639&amp;"(")-1))+1,TIMEVALUE(LEFT(N639,FIND("(",N639&amp;"(")-1)))-60/1440&gt;IF(TIMEVALUE(LEFT(N641,FIND("(",N641&amp;"(")-1))&lt;=TIME(3,59,59),TIMEVALUE(LEFT(N641,FIND("(",N641&amp;"(")-1))+1,TIMEVALUE(LEFT(N641,FIND("(",N641&amp;"(")-1))))</formula>
    </cfRule>
  </conditionalFormatting>
  <conditionalFormatting sqref="Z639:AD639">
    <cfRule type="expression" priority="711" dxfId="4514">
      <formula>AND(ISNUMBER(TIMEVALUE(LEFT(Z639,FIND("(",Z639&amp;"(")-1))),ISNUMBER(TIMEVALUE(LEFT(Z641,FIND("(",Z641&amp;"(")-1))),IF(TIMEVALUE(LEFT(Z639,FIND("(",Z639&amp;"(")-1))&lt;=TIME(3,59,59),TIMEVALUE(LEFT(Z639,FIND("(",Z639&amp;"(")-1))+1,TIMEVALUE(LEFT(Z639,FIND("(",Z639&amp;"(")-1)))-60/1440&gt;IF(TIMEVALUE(LEFT(Z641,FIND("(",Z641&amp;"(")-1))&lt;=TIME(3,59,59),TIMEVALUE(LEFT(Z641,FIND("(",Z641&amp;"(")-1))+1,TIMEVALUE(LEFT(Z641,FIND("(",Z641&amp;"(")-1))))</formula>
    </cfRule>
  </conditionalFormatting>
  <conditionalFormatting sqref="N644:R644">
    <cfRule type="expression" priority="865" dxfId="4514">
      <formula>AND(ISNUMBER(TIMEVALUE(LEFT(N644,FIND("(",N644&amp;"(")-1))),ISNUMBER(TIMEVALUE(LEFT(N646,FIND("(",N646&amp;"(")-1))),IF(TIMEVALUE(LEFT(N644,FIND("(",N644&amp;"(")-1))&lt;=TIME(3,59,59),TIMEVALUE(LEFT(N644,FIND("(",N644&amp;"(")-1))+1,TIMEVALUE(LEFT(N644,FIND("(",N644&amp;"(")-1)))+60/1440&lt;IF(TIMEVALUE(LEFT(N646,FIND("(",N646&amp;"(")-1))&lt;=TIME(3,59,59),TIMEVALUE(LEFT(N646,FIND("(",N646&amp;"(")-1))+1,TIMEVALUE(LEFT(N646,FIND("(",N646&amp;"(")-1))))</formula>
    </cfRule>
  </conditionalFormatting>
  <conditionalFormatting sqref="Z644:AD644">
    <cfRule type="expression" priority="679" dxfId="4514">
      <formula>AND(ISNUMBER(TIMEVALUE(LEFT(Z644,FIND("(",Z644&amp;"(")-1))),ISNUMBER(TIMEVALUE(LEFT(Z646,FIND("(",Z646&amp;"(")-1))),IF(TIMEVALUE(LEFT(Z644,FIND("(",Z644&amp;"(")-1))&lt;=TIME(3,59,59),TIMEVALUE(LEFT(Z644,FIND("(",Z644&amp;"(")-1))+1,TIMEVALUE(LEFT(Z644,FIND("(",Z644&amp;"(")-1)))+60/1440&lt;IF(TIMEVALUE(LEFT(Z646,FIND("(",Z646&amp;"(")-1))&lt;=TIME(3,59,59),TIMEVALUE(LEFT(Z646,FIND("(",Z646&amp;"(")-1))+1,TIMEVALUE(LEFT(Z646,FIND("(",Z646&amp;"(")-1))))</formula>
    </cfRule>
  </conditionalFormatting>
  <conditionalFormatting sqref="N645:R645">
    <cfRule type="expression" priority="896" dxfId="4514">
      <formula>AND(ISNUMBER(TIMEVALUE(LEFT(N645,FIND("(",N645&amp;"(")-1))),ISNUMBER(TIMEVALUE(LEFT(N647,FIND("(",N647&amp;"(")-1))),IF(TIMEVALUE(LEFT(N645,FIND("(",N645&amp;"(")-1))&lt;=TIME(3,59,59),TIMEVALUE(LEFT(N645,FIND("(",N645&amp;"(")-1))+1,TIMEVALUE(LEFT(N645,FIND("(",N645&amp;"(")-1)))-60/1440&gt;IF(TIMEVALUE(LEFT(N647,FIND("(",N647&amp;"(")-1))&lt;=TIME(3,59,59),TIMEVALUE(LEFT(N647,FIND("(",N647&amp;"(")-1))+1,TIMEVALUE(LEFT(N647,FIND("(",N647&amp;"(")-1))))</formula>
    </cfRule>
  </conditionalFormatting>
  <conditionalFormatting sqref="Z645:AD645">
    <cfRule type="expression" priority="710" dxfId="4514">
      <formula>AND(ISNUMBER(TIMEVALUE(LEFT(Z645,FIND("(",Z645&amp;"(")-1))),ISNUMBER(TIMEVALUE(LEFT(Z647,FIND("(",Z647&amp;"(")-1))),IF(TIMEVALUE(LEFT(Z645,FIND("(",Z645&amp;"(")-1))&lt;=TIME(3,59,59),TIMEVALUE(LEFT(Z645,FIND("(",Z645&amp;"(")-1))+1,TIMEVALUE(LEFT(Z645,FIND("(",Z645&amp;"(")-1)))-60/1440&gt;IF(TIMEVALUE(LEFT(Z647,FIND("(",Z647&amp;"(")-1))&lt;=TIME(3,59,59),TIMEVALUE(LEFT(Z647,FIND("(",Z647&amp;"(")-1))+1,TIMEVALUE(LEFT(Z647,FIND("(",Z647&amp;"(")-1))))</formula>
    </cfRule>
  </conditionalFormatting>
  <conditionalFormatting sqref="N650:R650">
    <cfRule type="expression" priority="864" dxfId="4514">
      <formula>AND(ISNUMBER(TIMEVALUE(LEFT(N650,FIND("(",N650&amp;"(")-1))),ISNUMBER(TIMEVALUE(LEFT(N652,FIND("(",N652&amp;"(")-1))),IF(TIMEVALUE(LEFT(N650,FIND("(",N650&amp;"(")-1))&lt;=TIME(3,59,59),TIMEVALUE(LEFT(N650,FIND("(",N650&amp;"(")-1))+1,TIMEVALUE(LEFT(N650,FIND("(",N650&amp;"(")-1)))+60/1440&lt;IF(TIMEVALUE(LEFT(N652,FIND("(",N652&amp;"(")-1))&lt;=TIME(3,59,59),TIMEVALUE(LEFT(N652,FIND("(",N652&amp;"(")-1))+1,TIMEVALUE(LEFT(N652,FIND("(",N652&amp;"(")-1))))</formula>
    </cfRule>
  </conditionalFormatting>
  <conditionalFormatting sqref="Z650:AD650">
    <cfRule type="expression" priority="678" dxfId="4514">
      <formula>AND(ISNUMBER(TIMEVALUE(LEFT(Z650,FIND("(",Z650&amp;"(")-1))),ISNUMBER(TIMEVALUE(LEFT(Z652,FIND("(",Z652&amp;"(")-1))),IF(TIMEVALUE(LEFT(Z650,FIND("(",Z650&amp;"(")-1))&lt;=TIME(3,59,59),TIMEVALUE(LEFT(Z650,FIND("(",Z650&amp;"(")-1))+1,TIMEVALUE(LEFT(Z650,FIND("(",Z650&amp;"(")-1)))+60/1440&lt;IF(TIMEVALUE(LEFT(Z652,FIND("(",Z652&amp;"(")-1))&lt;=TIME(3,59,59),TIMEVALUE(LEFT(Z652,FIND("(",Z652&amp;"(")-1))+1,TIMEVALUE(LEFT(Z652,FIND("(",Z652&amp;"(")-1))))</formula>
    </cfRule>
  </conditionalFormatting>
  <conditionalFormatting sqref="N651:R651">
    <cfRule type="expression" priority="895" dxfId="4514">
      <formula>AND(ISNUMBER(TIMEVALUE(LEFT(N651,FIND("(",N651&amp;"(")-1))),ISNUMBER(TIMEVALUE(LEFT(N653,FIND("(",N653&amp;"(")-1))),IF(TIMEVALUE(LEFT(N651,FIND("(",N651&amp;"(")-1))&lt;=TIME(3,59,59),TIMEVALUE(LEFT(N651,FIND("(",N651&amp;"(")-1))+1,TIMEVALUE(LEFT(N651,FIND("(",N651&amp;"(")-1)))-60/1440&gt;IF(TIMEVALUE(LEFT(N653,FIND("(",N653&amp;"(")-1))&lt;=TIME(3,59,59),TIMEVALUE(LEFT(N653,FIND("(",N653&amp;"(")-1))+1,TIMEVALUE(LEFT(N653,FIND("(",N653&amp;"(")-1))))</formula>
    </cfRule>
  </conditionalFormatting>
  <conditionalFormatting sqref="Z651:AD651">
    <cfRule type="expression" priority="709" dxfId="4514">
      <formula>AND(ISNUMBER(TIMEVALUE(LEFT(Z651,FIND("(",Z651&amp;"(")-1))),ISNUMBER(TIMEVALUE(LEFT(Z653,FIND("(",Z653&amp;"(")-1))),IF(TIMEVALUE(LEFT(Z651,FIND("(",Z651&amp;"(")-1))&lt;=TIME(3,59,59),TIMEVALUE(LEFT(Z651,FIND("(",Z651&amp;"(")-1))+1,TIMEVALUE(LEFT(Z651,FIND("(",Z651&amp;"(")-1)))-60/1440&gt;IF(TIMEVALUE(LEFT(Z653,FIND("(",Z653&amp;"(")-1))&lt;=TIME(3,59,59),TIMEVALUE(LEFT(Z653,FIND("(",Z653&amp;"(")-1))+1,TIMEVALUE(LEFT(Z653,FIND("(",Z653&amp;"(")-1))))</formula>
    </cfRule>
  </conditionalFormatting>
  <conditionalFormatting sqref="N656:R656">
    <cfRule type="expression" priority="863" dxfId="4514">
      <formula>AND(ISNUMBER(TIMEVALUE(LEFT(N656,FIND("(",N656&amp;"(")-1))),ISNUMBER(TIMEVALUE(LEFT(N658,FIND("(",N658&amp;"(")-1))),IF(TIMEVALUE(LEFT(N656,FIND("(",N656&amp;"(")-1))&lt;=TIME(3,59,59),TIMEVALUE(LEFT(N656,FIND("(",N656&amp;"(")-1))+1,TIMEVALUE(LEFT(N656,FIND("(",N656&amp;"(")-1)))+60/1440&lt;IF(TIMEVALUE(LEFT(N658,FIND("(",N658&amp;"(")-1))&lt;=TIME(3,59,59),TIMEVALUE(LEFT(N658,FIND("(",N658&amp;"(")-1))+1,TIMEVALUE(LEFT(N658,FIND("(",N658&amp;"(")-1))))</formula>
    </cfRule>
  </conditionalFormatting>
  <conditionalFormatting sqref="Z656:AD656">
    <cfRule type="expression" priority="677" dxfId="4514">
      <formula>AND(ISNUMBER(TIMEVALUE(LEFT(Z656,FIND("(",Z656&amp;"(")-1))),ISNUMBER(TIMEVALUE(LEFT(Z658,FIND("(",Z658&amp;"(")-1))),IF(TIMEVALUE(LEFT(Z656,FIND("(",Z656&amp;"(")-1))&lt;=TIME(3,59,59),TIMEVALUE(LEFT(Z656,FIND("(",Z656&amp;"(")-1))+1,TIMEVALUE(LEFT(Z656,FIND("(",Z656&amp;"(")-1)))+60/1440&lt;IF(TIMEVALUE(LEFT(Z658,FIND("(",Z658&amp;"(")-1))&lt;=TIME(3,59,59),TIMEVALUE(LEFT(Z658,FIND("(",Z658&amp;"(")-1))+1,TIMEVALUE(LEFT(Z658,FIND("(",Z658&amp;"(")-1))))</formula>
    </cfRule>
  </conditionalFormatting>
  <conditionalFormatting sqref="N657:R657">
    <cfRule type="expression" priority="894" dxfId="4514">
      <formula>AND(ISNUMBER(TIMEVALUE(LEFT(N657,FIND("(",N657&amp;"(")-1))),ISNUMBER(TIMEVALUE(LEFT(N659,FIND("(",N659&amp;"(")-1))),IF(TIMEVALUE(LEFT(N657,FIND("(",N657&amp;"(")-1))&lt;=TIME(3,59,59),TIMEVALUE(LEFT(N657,FIND("(",N657&amp;"(")-1))+1,TIMEVALUE(LEFT(N657,FIND("(",N657&amp;"(")-1)))-60/1440&gt;IF(TIMEVALUE(LEFT(N659,FIND("(",N659&amp;"(")-1))&lt;=TIME(3,59,59),TIMEVALUE(LEFT(N659,FIND("(",N659&amp;"(")-1))+1,TIMEVALUE(LEFT(N659,FIND("(",N659&amp;"(")-1))))</formula>
    </cfRule>
  </conditionalFormatting>
  <conditionalFormatting sqref="Z657:AD657">
    <cfRule type="expression" priority="708" dxfId="4514">
      <formula>AND(ISNUMBER(TIMEVALUE(LEFT(Z657,FIND("(",Z657&amp;"(")-1))),ISNUMBER(TIMEVALUE(LEFT(Z659,FIND("(",Z659&amp;"(")-1))),IF(TIMEVALUE(LEFT(Z657,FIND("(",Z657&amp;"(")-1))&lt;=TIME(3,59,59),TIMEVALUE(LEFT(Z657,FIND("(",Z657&amp;"(")-1))+1,TIMEVALUE(LEFT(Z657,FIND("(",Z657&amp;"(")-1)))-60/1440&gt;IF(TIMEVALUE(LEFT(Z659,FIND("(",Z659&amp;"(")-1))&lt;=TIME(3,59,59),TIMEVALUE(LEFT(Z659,FIND("(",Z659&amp;"(")-1))+1,TIMEVALUE(LEFT(Z659,FIND("(",Z659&amp;"(")-1))))</formula>
    </cfRule>
  </conditionalFormatting>
  <conditionalFormatting sqref="N662:R662">
    <cfRule type="expression" priority="862" dxfId="4514">
      <formula>AND(ISNUMBER(TIMEVALUE(LEFT(N662,FIND("(",N662&amp;"(")-1))),ISNUMBER(TIMEVALUE(LEFT(N664,FIND("(",N664&amp;"(")-1))),IF(TIMEVALUE(LEFT(N662,FIND("(",N662&amp;"(")-1))&lt;=TIME(3,59,59),TIMEVALUE(LEFT(N662,FIND("(",N662&amp;"(")-1))+1,TIMEVALUE(LEFT(N662,FIND("(",N662&amp;"(")-1)))+60/1440&lt;IF(TIMEVALUE(LEFT(N664,FIND("(",N664&amp;"(")-1))&lt;=TIME(3,59,59),TIMEVALUE(LEFT(N664,FIND("(",N664&amp;"(")-1))+1,TIMEVALUE(LEFT(N664,FIND("(",N664&amp;"(")-1))))</formula>
    </cfRule>
  </conditionalFormatting>
  <conditionalFormatting sqref="Z662:AD662">
    <cfRule type="expression" priority="676" dxfId="4514">
      <formula>AND(ISNUMBER(TIMEVALUE(LEFT(Z662,FIND("(",Z662&amp;"(")-1))),ISNUMBER(TIMEVALUE(LEFT(Z664,FIND("(",Z664&amp;"(")-1))),IF(TIMEVALUE(LEFT(Z662,FIND("(",Z662&amp;"(")-1))&lt;=TIME(3,59,59),TIMEVALUE(LEFT(Z662,FIND("(",Z662&amp;"(")-1))+1,TIMEVALUE(LEFT(Z662,FIND("(",Z662&amp;"(")-1)))+60/1440&lt;IF(TIMEVALUE(LEFT(Z664,FIND("(",Z664&amp;"(")-1))&lt;=TIME(3,59,59),TIMEVALUE(LEFT(Z664,FIND("(",Z664&amp;"(")-1))+1,TIMEVALUE(LEFT(Z664,FIND("(",Z664&amp;"(")-1))))</formula>
    </cfRule>
  </conditionalFormatting>
  <conditionalFormatting sqref="N663:R663">
    <cfRule type="expression" priority="893" dxfId="4514">
      <formula>AND(ISNUMBER(TIMEVALUE(LEFT(N663,FIND("(",N663&amp;"(")-1))),ISNUMBER(TIMEVALUE(LEFT(N665,FIND("(",N665&amp;"(")-1))),IF(TIMEVALUE(LEFT(N663,FIND("(",N663&amp;"(")-1))&lt;=TIME(3,59,59),TIMEVALUE(LEFT(N663,FIND("(",N663&amp;"(")-1))+1,TIMEVALUE(LEFT(N663,FIND("(",N663&amp;"(")-1)))-60/1440&gt;IF(TIMEVALUE(LEFT(N665,FIND("(",N665&amp;"(")-1))&lt;=TIME(3,59,59),TIMEVALUE(LEFT(N665,FIND("(",N665&amp;"(")-1))+1,TIMEVALUE(LEFT(N665,FIND("(",N665&amp;"(")-1))))</formula>
    </cfRule>
  </conditionalFormatting>
  <conditionalFormatting sqref="Z663:AD663">
    <cfRule type="expression" priority="707" dxfId="4514">
      <formula>AND(ISNUMBER(TIMEVALUE(LEFT(Z663,FIND("(",Z663&amp;"(")-1))),ISNUMBER(TIMEVALUE(LEFT(Z665,FIND("(",Z665&amp;"(")-1))),IF(TIMEVALUE(LEFT(Z663,FIND("(",Z663&amp;"(")-1))&lt;=TIME(3,59,59),TIMEVALUE(LEFT(Z663,FIND("(",Z663&amp;"(")-1))+1,TIMEVALUE(LEFT(Z663,FIND("(",Z663&amp;"(")-1)))-60/1440&gt;IF(TIMEVALUE(LEFT(Z665,FIND("(",Z665&amp;"(")-1))&lt;=TIME(3,59,59),TIMEVALUE(LEFT(Z665,FIND("(",Z665&amp;"(")-1))+1,TIMEVALUE(LEFT(Z665,FIND("(",Z665&amp;"(")-1))))</formula>
    </cfRule>
  </conditionalFormatting>
  <conditionalFormatting sqref="N668:R668">
    <cfRule type="expression" priority="861" dxfId="4514">
      <formula>AND(ISNUMBER(TIMEVALUE(LEFT(N668,FIND("(",N668&amp;"(")-1))),ISNUMBER(TIMEVALUE(LEFT(N670,FIND("(",N670&amp;"(")-1))),IF(TIMEVALUE(LEFT(N668,FIND("(",N668&amp;"(")-1))&lt;=TIME(3,59,59),TIMEVALUE(LEFT(N668,FIND("(",N668&amp;"(")-1))+1,TIMEVALUE(LEFT(N668,FIND("(",N668&amp;"(")-1)))+60/1440&lt;IF(TIMEVALUE(LEFT(N670,FIND("(",N670&amp;"(")-1))&lt;=TIME(3,59,59),TIMEVALUE(LEFT(N670,FIND("(",N670&amp;"(")-1))+1,TIMEVALUE(LEFT(N670,FIND("(",N670&amp;"(")-1))))</formula>
    </cfRule>
  </conditionalFormatting>
  <conditionalFormatting sqref="Z668:AD668">
    <cfRule type="expression" priority="675" dxfId="4514">
      <formula>AND(ISNUMBER(TIMEVALUE(LEFT(Z668,FIND("(",Z668&amp;"(")-1))),ISNUMBER(TIMEVALUE(LEFT(Z670,FIND("(",Z670&amp;"(")-1))),IF(TIMEVALUE(LEFT(Z668,FIND("(",Z668&amp;"(")-1))&lt;=TIME(3,59,59),TIMEVALUE(LEFT(Z668,FIND("(",Z668&amp;"(")-1))+1,TIMEVALUE(LEFT(Z668,FIND("(",Z668&amp;"(")-1)))+60/1440&lt;IF(TIMEVALUE(LEFT(Z670,FIND("(",Z670&amp;"(")-1))&lt;=TIME(3,59,59),TIMEVALUE(LEFT(Z670,FIND("(",Z670&amp;"(")-1))+1,TIMEVALUE(LEFT(Z670,FIND("(",Z670&amp;"(")-1))))</formula>
    </cfRule>
  </conditionalFormatting>
  <conditionalFormatting sqref="N669:R669">
    <cfRule type="expression" priority="892" dxfId="4514">
      <formula>AND(ISNUMBER(TIMEVALUE(LEFT(N669,FIND("(",N669&amp;"(")-1))),ISNUMBER(TIMEVALUE(LEFT(N671,FIND("(",N671&amp;"(")-1))),IF(TIMEVALUE(LEFT(N669,FIND("(",N669&amp;"(")-1))&lt;=TIME(3,59,59),TIMEVALUE(LEFT(N669,FIND("(",N669&amp;"(")-1))+1,TIMEVALUE(LEFT(N669,FIND("(",N669&amp;"(")-1)))-60/1440&gt;IF(TIMEVALUE(LEFT(N671,FIND("(",N671&amp;"(")-1))&lt;=TIME(3,59,59),TIMEVALUE(LEFT(N671,FIND("(",N671&amp;"(")-1))+1,TIMEVALUE(LEFT(N671,FIND("(",N671&amp;"(")-1))))</formula>
    </cfRule>
  </conditionalFormatting>
  <conditionalFormatting sqref="Z669:AD669">
    <cfRule type="expression" priority="706" dxfId="4514">
      <formula>AND(ISNUMBER(TIMEVALUE(LEFT(Z669,FIND("(",Z669&amp;"(")-1))),ISNUMBER(TIMEVALUE(LEFT(Z671,FIND("(",Z671&amp;"(")-1))),IF(TIMEVALUE(LEFT(Z669,FIND("(",Z669&amp;"(")-1))&lt;=TIME(3,59,59),TIMEVALUE(LEFT(Z669,FIND("(",Z669&amp;"(")-1))+1,TIMEVALUE(LEFT(Z669,FIND("(",Z669&amp;"(")-1)))-60/1440&gt;IF(TIMEVALUE(LEFT(Z671,FIND("(",Z671&amp;"(")-1))&lt;=TIME(3,59,59),TIMEVALUE(LEFT(Z671,FIND("(",Z671&amp;"(")-1))+1,TIMEVALUE(LEFT(Z671,FIND("(",Z671&amp;"(")-1))))</formula>
    </cfRule>
  </conditionalFormatting>
  <conditionalFormatting sqref="N674:R674">
    <cfRule type="expression" priority="860" dxfId="4514">
      <formula>AND(ISNUMBER(TIMEVALUE(LEFT(N674,FIND("(",N674&amp;"(")-1))),ISNUMBER(TIMEVALUE(LEFT(N676,FIND("(",N676&amp;"(")-1))),IF(TIMEVALUE(LEFT(N674,FIND("(",N674&amp;"(")-1))&lt;=TIME(3,59,59),TIMEVALUE(LEFT(N674,FIND("(",N674&amp;"(")-1))+1,TIMEVALUE(LEFT(N674,FIND("(",N674&amp;"(")-1)))+60/1440&lt;IF(TIMEVALUE(LEFT(N676,FIND("(",N676&amp;"(")-1))&lt;=TIME(3,59,59),TIMEVALUE(LEFT(N676,FIND("(",N676&amp;"(")-1))+1,TIMEVALUE(LEFT(N676,FIND("(",N676&amp;"(")-1))))</formula>
    </cfRule>
  </conditionalFormatting>
  <conditionalFormatting sqref="Z674:AD674">
    <cfRule type="expression" priority="674" dxfId="4514">
      <formula>AND(ISNUMBER(TIMEVALUE(LEFT(Z674,FIND("(",Z674&amp;"(")-1))),ISNUMBER(TIMEVALUE(LEFT(Z676,FIND("(",Z676&amp;"(")-1))),IF(TIMEVALUE(LEFT(Z674,FIND("(",Z674&amp;"(")-1))&lt;=TIME(3,59,59),TIMEVALUE(LEFT(Z674,FIND("(",Z674&amp;"(")-1))+1,TIMEVALUE(LEFT(Z674,FIND("(",Z674&amp;"(")-1)))+60/1440&lt;IF(TIMEVALUE(LEFT(Z676,FIND("(",Z676&amp;"(")-1))&lt;=TIME(3,59,59),TIMEVALUE(LEFT(Z676,FIND("(",Z676&amp;"(")-1))+1,TIMEVALUE(LEFT(Z676,FIND("(",Z676&amp;"(")-1))))</formula>
    </cfRule>
  </conditionalFormatting>
  <conditionalFormatting sqref="N675:R675">
    <cfRule type="expression" priority="891" dxfId="4514">
      <formula>AND(ISNUMBER(TIMEVALUE(LEFT(N675,FIND("(",N675&amp;"(")-1))),ISNUMBER(TIMEVALUE(LEFT(N677,FIND("(",N677&amp;"(")-1))),IF(TIMEVALUE(LEFT(N675,FIND("(",N675&amp;"(")-1))&lt;=TIME(3,59,59),TIMEVALUE(LEFT(N675,FIND("(",N675&amp;"(")-1))+1,TIMEVALUE(LEFT(N675,FIND("(",N675&amp;"(")-1)))-60/1440&gt;IF(TIMEVALUE(LEFT(N677,FIND("(",N677&amp;"(")-1))&lt;=TIME(3,59,59),TIMEVALUE(LEFT(N677,FIND("(",N677&amp;"(")-1))+1,TIMEVALUE(LEFT(N677,FIND("(",N677&amp;"(")-1))))</formula>
    </cfRule>
  </conditionalFormatting>
  <conditionalFormatting sqref="Z675:AD675">
    <cfRule type="expression" priority="705" dxfId="4514">
      <formula>AND(ISNUMBER(TIMEVALUE(LEFT(Z675,FIND("(",Z675&amp;"(")-1))),ISNUMBER(TIMEVALUE(LEFT(Z677,FIND("(",Z677&amp;"(")-1))),IF(TIMEVALUE(LEFT(Z675,FIND("(",Z675&amp;"(")-1))&lt;=TIME(3,59,59),TIMEVALUE(LEFT(Z675,FIND("(",Z675&amp;"(")-1))+1,TIMEVALUE(LEFT(Z675,FIND("(",Z675&amp;"(")-1)))-60/1440&gt;IF(TIMEVALUE(LEFT(Z677,FIND("(",Z677&amp;"(")-1))&lt;=TIME(3,59,59),TIMEVALUE(LEFT(Z677,FIND("(",Z677&amp;"(")-1))+1,TIMEVALUE(LEFT(Z677,FIND("(",Z677&amp;"(")-1))))</formula>
    </cfRule>
  </conditionalFormatting>
  <conditionalFormatting sqref="N680:R680">
    <cfRule type="expression" priority="859" dxfId="4514">
      <formula>AND(ISNUMBER(TIMEVALUE(LEFT(N680,FIND("(",N680&amp;"(")-1))),ISNUMBER(TIMEVALUE(LEFT(N682,FIND("(",N682&amp;"(")-1))),IF(TIMEVALUE(LEFT(N680,FIND("(",N680&amp;"(")-1))&lt;=TIME(3,59,59),TIMEVALUE(LEFT(N680,FIND("(",N680&amp;"(")-1))+1,TIMEVALUE(LEFT(N680,FIND("(",N680&amp;"(")-1)))+60/1440&lt;IF(TIMEVALUE(LEFT(N682,FIND("(",N682&amp;"(")-1))&lt;=TIME(3,59,59),TIMEVALUE(LEFT(N682,FIND("(",N682&amp;"(")-1))+1,TIMEVALUE(LEFT(N682,FIND("(",N682&amp;"(")-1))))</formula>
    </cfRule>
  </conditionalFormatting>
  <conditionalFormatting sqref="Z680:AD680">
    <cfRule type="expression" priority="673" dxfId="4514">
      <formula>AND(ISNUMBER(TIMEVALUE(LEFT(Z680,FIND("(",Z680&amp;"(")-1))),ISNUMBER(TIMEVALUE(LEFT(Z682,FIND("(",Z682&amp;"(")-1))),IF(TIMEVALUE(LEFT(Z680,FIND("(",Z680&amp;"(")-1))&lt;=TIME(3,59,59),TIMEVALUE(LEFT(Z680,FIND("(",Z680&amp;"(")-1))+1,TIMEVALUE(LEFT(Z680,FIND("(",Z680&amp;"(")-1)))+60/1440&lt;IF(TIMEVALUE(LEFT(Z682,FIND("(",Z682&amp;"(")-1))&lt;=TIME(3,59,59),TIMEVALUE(LEFT(Z682,FIND("(",Z682&amp;"(")-1))+1,TIMEVALUE(LEFT(Z682,FIND("(",Z682&amp;"(")-1))))</formula>
    </cfRule>
  </conditionalFormatting>
  <conditionalFormatting sqref="N681:R681">
    <cfRule type="expression" priority="890" dxfId="4514">
      <formula>AND(ISNUMBER(TIMEVALUE(LEFT(N681,FIND("(",N681&amp;"(")-1))),ISNUMBER(TIMEVALUE(LEFT(N683,FIND("(",N683&amp;"(")-1))),IF(TIMEVALUE(LEFT(N681,FIND("(",N681&amp;"(")-1))&lt;=TIME(3,59,59),TIMEVALUE(LEFT(N681,FIND("(",N681&amp;"(")-1))+1,TIMEVALUE(LEFT(N681,FIND("(",N681&amp;"(")-1)))-60/1440&gt;IF(TIMEVALUE(LEFT(N683,FIND("(",N683&amp;"(")-1))&lt;=TIME(3,59,59),TIMEVALUE(LEFT(N683,FIND("(",N683&amp;"(")-1))+1,TIMEVALUE(LEFT(N683,FIND("(",N683&amp;"(")-1))))</formula>
    </cfRule>
  </conditionalFormatting>
  <conditionalFormatting sqref="Z681:AD681">
    <cfRule type="expression" priority="704" dxfId="4514">
      <formula>AND(ISNUMBER(TIMEVALUE(LEFT(Z681,FIND("(",Z681&amp;"(")-1))),ISNUMBER(TIMEVALUE(LEFT(Z683,FIND("(",Z683&amp;"(")-1))),IF(TIMEVALUE(LEFT(Z681,FIND("(",Z681&amp;"(")-1))&lt;=TIME(3,59,59),TIMEVALUE(LEFT(Z681,FIND("(",Z681&amp;"(")-1))+1,TIMEVALUE(LEFT(Z681,FIND("(",Z681&amp;"(")-1)))-60/1440&gt;IF(TIMEVALUE(LEFT(Z683,FIND("(",Z683&amp;"(")-1))&lt;=TIME(3,59,59),TIMEVALUE(LEFT(Z683,FIND("(",Z683&amp;"(")-1))+1,TIMEVALUE(LEFT(Z683,FIND("(",Z683&amp;"(")-1))))</formula>
    </cfRule>
  </conditionalFormatting>
  <conditionalFormatting sqref="N897:R897">
    <cfRule type="expression" priority="396" dxfId="4514">
      <formula>AND(ISNUMBER(TIMEVALUE(LEFT(N897,FIND("(",N897&amp;"(")-1))),ISNUMBER(TIMEVALUE(LEFT(N899,FIND("(",N899&amp;"(")-1))),IF(TIMEVALUE(LEFT(N897,FIND("(",N897&amp;"(")-1))&lt;=TIME(3,59,59),TIMEVALUE(LEFT(N897,FIND("(",N897&amp;"(")-1))+1,TIMEVALUE(LEFT(N897,FIND("(",N897&amp;"(")-1)))+60/1440&lt;IF(TIMEVALUE(LEFT(N899,FIND("(",N899&amp;"(")-1))&lt;=TIME(3,59,59),TIMEVALUE(LEFT(N899,FIND("(",N899&amp;"(")-1))+1,TIMEVALUE(LEFT(N899,FIND("(",N899&amp;"(")-1))))</formula>
    </cfRule>
  </conditionalFormatting>
  <conditionalFormatting sqref="Z897:AD897">
    <cfRule type="expression" priority="336" dxfId="4514">
      <formula>AND(ISNUMBER(TIMEVALUE(LEFT(Z897,FIND("(",Z897&amp;"(")-1))),ISNUMBER(TIMEVALUE(LEFT(Z899,FIND("(",Z899&amp;"(")-1))),IF(TIMEVALUE(LEFT(Z897,FIND("(",Z897&amp;"(")-1))&lt;=TIME(3,59,59),TIMEVALUE(LEFT(Z897,FIND("(",Z897&amp;"(")-1))+1,TIMEVALUE(LEFT(Z897,FIND("(",Z897&amp;"(")-1)))+60/1440&lt;IF(TIMEVALUE(LEFT(Z899,FIND("(",Z899&amp;"(")-1))&lt;=TIME(3,59,59),TIMEVALUE(LEFT(Z899,FIND("(",Z899&amp;"(")-1))+1,TIMEVALUE(LEFT(Z899,FIND("(",Z899&amp;"(")-1))))</formula>
    </cfRule>
  </conditionalFormatting>
  <conditionalFormatting sqref="N898:R898">
    <cfRule type="expression" priority="406" dxfId="4514">
      <formula>AND(ISNUMBER(TIMEVALUE(LEFT(N898,FIND("(",N898&amp;"(")-1))),ISNUMBER(TIMEVALUE(LEFT(N900,FIND("(",N900&amp;"(")-1))),IF(TIMEVALUE(LEFT(N898,FIND("(",N898&amp;"(")-1))&lt;=TIME(3,59,59),TIMEVALUE(LEFT(N898,FIND("(",N898&amp;"(")-1))+1,TIMEVALUE(LEFT(N898,FIND("(",N898&amp;"(")-1)))-60/1440&gt;IF(TIMEVALUE(LEFT(N900,FIND("(",N900&amp;"(")-1))&lt;=TIME(3,59,59),TIMEVALUE(LEFT(N900,FIND("(",N900&amp;"(")-1))+1,TIMEVALUE(LEFT(N900,FIND("(",N900&amp;"(")-1))))</formula>
    </cfRule>
  </conditionalFormatting>
  <conditionalFormatting sqref="Z898:AD898">
    <cfRule type="expression" priority="346" dxfId="4514">
      <formula>AND(ISNUMBER(TIMEVALUE(LEFT(Z898,FIND("(",Z898&amp;"(")-1))),ISNUMBER(TIMEVALUE(LEFT(Z900,FIND("(",Z900&amp;"(")-1))),IF(TIMEVALUE(LEFT(Z898,FIND("(",Z898&amp;"(")-1))&lt;=TIME(3,59,59),TIMEVALUE(LEFT(Z898,FIND("(",Z898&amp;"(")-1))+1,TIMEVALUE(LEFT(Z898,FIND("(",Z898&amp;"(")-1)))-60/1440&gt;IF(TIMEVALUE(LEFT(Z900,FIND("(",Z900&amp;"(")-1))&lt;=TIME(3,59,59),TIMEVALUE(LEFT(Z900,FIND("(",Z900&amp;"(")-1))+1,TIMEVALUE(LEFT(Z900,FIND("(",Z900&amp;"(")-1))))</formula>
    </cfRule>
  </conditionalFormatting>
  <conditionalFormatting sqref="N903:R903">
    <cfRule type="expression" priority="395" dxfId="4514">
      <formula>AND(ISNUMBER(TIMEVALUE(LEFT(N903,FIND("(",N903&amp;"(")-1))),ISNUMBER(TIMEVALUE(LEFT(N905,FIND("(",N905&amp;"(")-1))),IF(TIMEVALUE(LEFT(N903,FIND("(",N903&amp;"(")-1))&lt;=TIME(3,59,59),TIMEVALUE(LEFT(N903,FIND("(",N903&amp;"(")-1))+1,TIMEVALUE(LEFT(N903,FIND("(",N903&amp;"(")-1)))+60/1440&lt;IF(TIMEVALUE(LEFT(N905,FIND("(",N905&amp;"(")-1))&lt;=TIME(3,59,59),TIMEVALUE(LEFT(N905,FIND("(",N905&amp;"(")-1))+1,TIMEVALUE(LEFT(N905,FIND("(",N905&amp;"(")-1))))</formula>
    </cfRule>
  </conditionalFormatting>
  <conditionalFormatting sqref="Z903:AD903">
    <cfRule type="expression" priority="335" dxfId="4514">
      <formula>AND(ISNUMBER(TIMEVALUE(LEFT(Z903,FIND("(",Z903&amp;"(")-1))),ISNUMBER(TIMEVALUE(LEFT(Z905,FIND("(",Z905&amp;"(")-1))),IF(TIMEVALUE(LEFT(Z903,FIND("(",Z903&amp;"(")-1))&lt;=TIME(3,59,59),TIMEVALUE(LEFT(Z903,FIND("(",Z903&amp;"(")-1))+1,TIMEVALUE(LEFT(Z903,FIND("(",Z903&amp;"(")-1)))+60/1440&lt;IF(TIMEVALUE(LEFT(Z905,FIND("(",Z905&amp;"(")-1))&lt;=TIME(3,59,59),TIMEVALUE(LEFT(Z905,FIND("(",Z905&amp;"(")-1))+1,TIMEVALUE(LEFT(Z905,FIND("(",Z905&amp;"(")-1))))</formula>
    </cfRule>
  </conditionalFormatting>
  <conditionalFormatting sqref="N904:R904">
    <cfRule type="expression" priority="405" dxfId="4514">
      <formula>AND(ISNUMBER(TIMEVALUE(LEFT(N904,FIND("(",N904&amp;"(")-1))),ISNUMBER(TIMEVALUE(LEFT(N906,FIND("(",N906&amp;"(")-1))),IF(TIMEVALUE(LEFT(N904,FIND("(",N904&amp;"(")-1))&lt;=TIME(3,59,59),TIMEVALUE(LEFT(N904,FIND("(",N904&amp;"(")-1))+1,TIMEVALUE(LEFT(N904,FIND("(",N904&amp;"(")-1)))-60/1440&gt;IF(TIMEVALUE(LEFT(N906,FIND("(",N906&amp;"(")-1))&lt;=TIME(3,59,59),TIMEVALUE(LEFT(N906,FIND("(",N906&amp;"(")-1))+1,TIMEVALUE(LEFT(N906,FIND("(",N906&amp;"(")-1))))</formula>
    </cfRule>
  </conditionalFormatting>
  <conditionalFormatting sqref="Z904:AD904">
    <cfRule type="expression" priority="345" dxfId="4514">
      <formula>AND(ISNUMBER(TIMEVALUE(LEFT(Z904,FIND("(",Z904&amp;"(")-1))),ISNUMBER(TIMEVALUE(LEFT(Z906,FIND("(",Z906&amp;"(")-1))),IF(TIMEVALUE(LEFT(Z904,FIND("(",Z904&amp;"(")-1))&lt;=TIME(3,59,59),TIMEVALUE(LEFT(Z904,FIND("(",Z904&amp;"(")-1))+1,TIMEVALUE(LEFT(Z904,FIND("(",Z904&amp;"(")-1)))-60/1440&gt;IF(TIMEVALUE(LEFT(Z906,FIND("(",Z906&amp;"(")-1))&lt;=TIME(3,59,59),TIMEVALUE(LEFT(Z906,FIND("(",Z906&amp;"(")-1))+1,TIMEVALUE(LEFT(Z906,FIND("(",Z906&amp;"(")-1))))</formula>
    </cfRule>
  </conditionalFormatting>
  <conditionalFormatting sqref="N909:R909">
    <cfRule type="expression" priority="394" dxfId="4514">
      <formula>AND(ISNUMBER(TIMEVALUE(LEFT(N909,FIND("(",N909&amp;"(")-1))),ISNUMBER(TIMEVALUE(LEFT(N911,FIND("(",N911&amp;"(")-1))),IF(TIMEVALUE(LEFT(N909,FIND("(",N909&amp;"(")-1))&lt;=TIME(3,59,59),TIMEVALUE(LEFT(N909,FIND("(",N909&amp;"(")-1))+1,TIMEVALUE(LEFT(N909,FIND("(",N909&amp;"(")-1)))+60/1440&lt;IF(TIMEVALUE(LEFT(N911,FIND("(",N911&amp;"(")-1))&lt;=TIME(3,59,59),TIMEVALUE(LEFT(N911,FIND("(",N911&amp;"(")-1))+1,TIMEVALUE(LEFT(N911,FIND("(",N911&amp;"(")-1))))</formula>
    </cfRule>
  </conditionalFormatting>
  <conditionalFormatting sqref="Z909:AD909">
    <cfRule type="expression" priority="334" dxfId="4514">
      <formula>AND(ISNUMBER(TIMEVALUE(LEFT(Z909,FIND("(",Z909&amp;"(")-1))),ISNUMBER(TIMEVALUE(LEFT(Z911,FIND("(",Z911&amp;"(")-1))),IF(TIMEVALUE(LEFT(Z909,FIND("(",Z909&amp;"(")-1))&lt;=TIME(3,59,59),TIMEVALUE(LEFT(Z909,FIND("(",Z909&amp;"(")-1))+1,TIMEVALUE(LEFT(Z909,FIND("(",Z909&amp;"(")-1)))+60/1440&lt;IF(TIMEVALUE(LEFT(Z911,FIND("(",Z911&amp;"(")-1))&lt;=TIME(3,59,59),TIMEVALUE(LEFT(Z911,FIND("(",Z911&amp;"(")-1))+1,TIMEVALUE(LEFT(Z911,FIND("(",Z911&amp;"(")-1))))</formula>
    </cfRule>
  </conditionalFormatting>
  <conditionalFormatting sqref="N910:R910">
    <cfRule type="expression" priority="404" dxfId="4514">
      <formula>AND(ISNUMBER(TIMEVALUE(LEFT(N910,FIND("(",N910&amp;"(")-1))),ISNUMBER(TIMEVALUE(LEFT(N912,FIND("(",N912&amp;"(")-1))),IF(TIMEVALUE(LEFT(N910,FIND("(",N910&amp;"(")-1))&lt;=TIME(3,59,59),TIMEVALUE(LEFT(N910,FIND("(",N910&amp;"(")-1))+1,TIMEVALUE(LEFT(N910,FIND("(",N910&amp;"(")-1)))-60/1440&gt;IF(TIMEVALUE(LEFT(N912,FIND("(",N912&amp;"(")-1))&lt;=TIME(3,59,59),TIMEVALUE(LEFT(N912,FIND("(",N912&amp;"(")-1))+1,TIMEVALUE(LEFT(N912,FIND("(",N912&amp;"(")-1))))</formula>
    </cfRule>
  </conditionalFormatting>
  <conditionalFormatting sqref="Z910:AD910">
    <cfRule type="expression" priority="344" dxfId="4514">
      <formula>AND(ISNUMBER(TIMEVALUE(LEFT(Z910,FIND("(",Z910&amp;"(")-1))),ISNUMBER(TIMEVALUE(LEFT(Z912,FIND("(",Z912&amp;"(")-1))),IF(TIMEVALUE(LEFT(Z910,FIND("(",Z910&amp;"(")-1))&lt;=TIME(3,59,59),TIMEVALUE(LEFT(Z910,FIND("(",Z910&amp;"(")-1))+1,TIMEVALUE(LEFT(Z910,FIND("(",Z910&amp;"(")-1)))-60/1440&gt;IF(TIMEVALUE(LEFT(Z912,FIND("(",Z912&amp;"(")-1))&lt;=TIME(3,59,59),TIMEVALUE(LEFT(Z912,FIND("(",Z912&amp;"(")-1))+1,TIMEVALUE(LEFT(Z912,FIND("(",Z912&amp;"(")-1))))</formula>
    </cfRule>
  </conditionalFormatting>
  <conditionalFormatting sqref="N915:R915">
    <cfRule type="expression" priority="393" dxfId="4514">
      <formula>AND(ISNUMBER(TIMEVALUE(LEFT(N915,FIND("(",N915&amp;"(")-1))),ISNUMBER(TIMEVALUE(LEFT(N917,FIND("(",N917&amp;"(")-1))),IF(TIMEVALUE(LEFT(N915,FIND("(",N915&amp;"(")-1))&lt;=TIME(3,59,59),TIMEVALUE(LEFT(N915,FIND("(",N915&amp;"(")-1))+1,TIMEVALUE(LEFT(N915,FIND("(",N915&amp;"(")-1)))+60/1440&lt;IF(TIMEVALUE(LEFT(N917,FIND("(",N917&amp;"(")-1))&lt;=TIME(3,59,59),TIMEVALUE(LEFT(N917,FIND("(",N917&amp;"(")-1))+1,TIMEVALUE(LEFT(N917,FIND("(",N917&amp;"(")-1))))</formula>
    </cfRule>
  </conditionalFormatting>
  <conditionalFormatting sqref="Z915:AD915">
    <cfRule type="expression" priority="333" dxfId="4514">
      <formula>AND(ISNUMBER(TIMEVALUE(LEFT(Z915,FIND("(",Z915&amp;"(")-1))),ISNUMBER(TIMEVALUE(LEFT(Z917,FIND("(",Z917&amp;"(")-1))),IF(TIMEVALUE(LEFT(Z915,FIND("(",Z915&amp;"(")-1))&lt;=TIME(3,59,59),TIMEVALUE(LEFT(Z915,FIND("(",Z915&amp;"(")-1))+1,TIMEVALUE(LEFT(Z915,FIND("(",Z915&amp;"(")-1)))+60/1440&lt;IF(TIMEVALUE(LEFT(Z917,FIND("(",Z917&amp;"(")-1))&lt;=TIME(3,59,59),TIMEVALUE(LEFT(Z917,FIND("(",Z917&amp;"(")-1))+1,TIMEVALUE(LEFT(Z917,FIND("(",Z917&amp;"(")-1))))</formula>
    </cfRule>
  </conditionalFormatting>
  <conditionalFormatting sqref="N916:R916">
    <cfRule type="expression" priority="403" dxfId="4514">
      <formula>AND(ISNUMBER(TIMEVALUE(LEFT(N916,FIND("(",N916&amp;"(")-1))),ISNUMBER(TIMEVALUE(LEFT(N918,FIND("(",N918&amp;"(")-1))),IF(TIMEVALUE(LEFT(N916,FIND("(",N916&amp;"(")-1))&lt;=TIME(3,59,59),TIMEVALUE(LEFT(N916,FIND("(",N916&amp;"(")-1))+1,TIMEVALUE(LEFT(N916,FIND("(",N916&amp;"(")-1)))-60/1440&gt;IF(TIMEVALUE(LEFT(N918,FIND("(",N918&amp;"(")-1))&lt;=TIME(3,59,59),TIMEVALUE(LEFT(N918,FIND("(",N918&amp;"(")-1))+1,TIMEVALUE(LEFT(N918,FIND("(",N918&amp;"(")-1))))</formula>
    </cfRule>
  </conditionalFormatting>
  <conditionalFormatting sqref="Z916:AD916">
    <cfRule type="expression" priority="343" dxfId="4514">
      <formula>AND(ISNUMBER(TIMEVALUE(LEFT(Z916,FIND("(",Z916&amp;"(")-1))),ISNUMBER(TIMEVALUE(LEFT(Z918,FIND("(",Z918&amp;"(")-1))),IF(TIMEVALUE(LEFT(Z916,FIND("(",Z916&amp;"(")-1))&lt;=TIME(3,59,59),TIMEVALUE(LEFT(Z916,FIND("(",Z916&amp;"(")-1))+1,TIMEVALUE(LEFT(Z916,FIND("(",Z916&amp;"(")-1)))-60/1440&gt;IF(TIMEVALUE(LEFT(Z918,FIND("(",Z918&amp;"(")-1))&lt;=TIME(3,59,59),TIMEVALUE(LEFT(Z918,FIND("(",Z918&amp;"(")-1))+1,TIMEVALUE(LEFT(Z918,FIND("(",Z918&amp;"(")-1))))</formula>
    </cfRule>
  </conditionalFormatting>
  <conditionalFormatting sqref="N921:R921">
    <cfRule type="expression" priority="392" dxfId="4514">
      <formula>AND(ISNUMBER(TIMEVALUE(LEFT(N921,FIND("(",N921&amp;"(")-1))),ISNUMBER(TIMEVALUE(LEFT(N923,FIND("(",N923&amp;"(")-1))),IF(TIMEVALUE(LEFT(N921,FIND("(",N921&amp;"(")-1))&lt;=TIME(3,59,59),TIMEVALUE(LEFT(N921,FIND("(",N921&amp;"(")-1))+1,TIMEVALUE(LEFT(N921,FIND("(",N921&amp;"(")-1)))+60/1440&lt;IF(TIMEVALUE(LEFT(N923,FIND("(",N923&amp;"(")-1))&lt;=TIME(3,59,59),TIMEVALUE(LEFT(N923,FIND("(",N923&amp;"(")-1))+1,TIMEVALUE(LEFT(N923,FIND("(",N923&amp;"(")-1))))</formula>
    </cfRule>
  </conditionalFormatting>
  <conditionalFormatting sqref="Z921:AD921">
    <cfRule type="expression" priority="332" dxfId="4514">
      <formula>AND(ISNUMBER(TIMEVALUE(LEFT(Z921,FIND("(",Z921&amp;"(")-1))),ISNUMBER(TIMEVALUE(LEFT(Z923,FIND("(",Z923&amp;"(")-1))),IF(TIMEVALUE(LEFT(Z921,FIND("(",Z921&amp;"(")-1))&lt;=TIME(3,59,59),TIMEVALUE(LEFT(Z921,FIND("(",Z921&amp;"(")-1))+1,TIMEVALUE(LEFT(Z921,FIND("(",Z921&amp;"(")-1)))+60/1440&lt;IF(TIMEVALUE(LEFT(Z923,FIND("(",Z923&amp;"(")-1))&lt;=TIME(3,59,59),TIMEVALUE(LEFT(Z923,FIND("(",Z923&amp;"(")-1))+1,TIMEVALUE(LEFT(Z923,FIND("(",Z923&amp;"(")-1))))</formula>
    </cfRule>
  </conditionalFormatting>
  <conditionalFormatting sqref="N922:R922">
    <cfRule type="expression" priority="402" dxfId="4514">
      <formula>AND(ISNUMBER(TIMEVALUE(LEFT(N922,FIND("(",N922&amp;"(")-1))),ISNUMBER(TIMEVALUE(LEFT(N924,FIND("(",N924&amp;"(")-1))),IF(TIMEVALUE(LEFT(N922,FIND("(",N922&amp;"(")-1))&lt;=TIME(3,59,59),TIMEVALUE(LEFT(N922,FIND("(",N922&amp;"(")-1))+1,TIMEVALUE(LEFT(N922,FIND("(",N922&amp;"(")-1)))-60/1440&gt;IF(TIMEVALUE(LEFT(N924,FIND("(",N924&amp;"(")-1))&lt;=TIME(3,59,59),TIMEVALUE(LEFT(N924,FIND("(",N924&amp;"(")-1))+1,TIMEVALUE(LEFT(N924,FIND("(",N924&amp;"(")-1))))</formula>
    </cfRule>
  </conditionalFormatting>
  <conditionalFormatting sqref="Z922:AD922">
    <cfRule type="expression" priority="342" dxfId="4514">
      <formula>AND(ISNUMBER(TIMEVALUE(LEFT(Z922,FIND("(",Z922&amp;"(")-1))),ISNUMBER(TIMEVALUE(LEFT(Z924,FIND("(",Z924&amp;"(")-1))),IF(TIMEVALUE(LEFT(Z922,FIND("(",Z922&amp;"(")-1))&lt;=TIME(3,59,59),TIMEVALUE(LEFT(Z922,FIND("(",Z922&amp;"(")-1))+1,TIMEVALUE(LEFT(Z922,FIND("(",Z922&amp;"(")-1)))-60/1440&gt;IF(TIMEVALUE(LEFT(Z924,FIND("(",Z924&amp;"(")-1))&lt;=TIME(3,59,59),TIMEVALUE(LEFT(Z924,FIND("(",Z924&amp;"(")-1))+1,TIMEVALUE(LEFT(Z924,FIND("(",Z924&amp;"(")-1))))</formula>
    </cfRule>
  </conditionalFormatting>
  <conditionalFormatting sqref="N927:R927">
    <cfRule type="expression" priority="391" dxfId="4514">
      <formula>AND(ISNUMBER(TIMEVALUE(LEFT(N927,FIND("(",N927&amp;"(")-1))),ISNUMBER(TIMEVALUE(LEFT(N929,FIND("(",N929&amp;"(")-1))),IF(TIMEVALUE(LEFT(N927,FIND("(",N927&amp;"(")-1))&lt;=TIME(3,59,59),TIMEVALUE(LEFT(N927,FIND("(",N927&amp;"(")-1))+1,TIMEVALUE(LEFT(N927,FIND("(",N927&amp;"(")-1)))+60/1440&lt;IF(TIMEVALUE(LEFT(N929,FIND("(",N929&amp;"(")-1))&lt;=TIME(3,59,59),TIMEVALUE(LEFT(N929,FIND("(",N929&amp;"(")-1))+1,TIMEVALUE(LEFT(N929,FIND("(",N929&amp;"(")-1))))</formula>
    </cfRule>
  </conditionalFormatting>
  <conditionalFormatting sqref="Z927:AD927">
    <cfRule type="expression" priority="331" dxfId="4514">
      <formula>AND(ISNUMBER(TIMEVALUE(LEFT(Z927,FIND("(",Z927&amp;"(")-1))),ISNUMBER(TIMEVALUE(LEFT(Z929,FIND("(",Z929&amp;"(")-1))),IF(TIMEVALUE(LEFT(Z927,FIND("(",Z927&amp;"(")-1))&lt;=TIME(3,59,59),TIMEVALUE(LEFT(Z927,FIND("(",Z927&amp;"(")-1))+1,TIMEVALUE(LEFT(Z927,FIND("(",Z927&amp;"(")-1)))+60/1440&lt;IF(TIMEVALUE(LEFT(Z929,FIND("(",Z929&amp;"(")-1))&lt;=TIME(3,59,59),TIMEVALUE(LEFT(Z929,FIND("(",Z929&amp;"(")-1))+1,TIMEVALUE(LEFT(Z929,FIND("(",Z929&amp;"(")-1))))</formula>
    </cfRule>
  </conditionalFormatting>
  <conditionalFormatting sqref="N928:R928">
    <cfRule type="expression" priority="401" dxfId="4514">
      <formula>AND(ISNUMBER(TIMEVALUE(LEFT(N928,FIND("(",N928&amp;"(")-1))),ISNUMBER(TIMEVALUE(LEFT(N930,FIND("(",N930&amp;"(")-1))),IF(TIMEVALUE(LEFT(N928,FIND("(",N928&amp;"(")-1))&lt;=TIME(3,59,59),TIMEVALUE(LEFT(N928,FIND("(",N928&amp;"(")-1))+1,TIMEVALUE(LEFT(N928,FIND("(",N928&amp;"(")-1)))-60/1440&gt;IF(TIMEVALUE(LEFT(N930,FIND("(",N930&amp;"(")-1))&lt;=TIME(3,59,59),TIMEVALUE(LEFT(N930,FIND("(",N930&amp;"(")-1))+1,TIMEVALUE(LEFT(N930,FIND("(",N930&amp;"(")-1))))</formula>
    </cfRule>
  </conditionalFormatting>
  <conditionalFormatting sqref="Z928:AD928">
    <cfRule type="expression" priority="341" dxfId="4514">
      <formula>AND(ISNUMBER(TIMEVALUE(LEFT(Z928,FIND("(",Z928&amp;"(")-1))),ISNUMBER(TIMEVALUE(LEFT(Z930,FIND("(",Z930&amp;"(")-1))),IF(TIMEVALUE(LEFT(Z928,FIND("(",Z928&amp;"(")-1))&lt;=TIME(3,59,59),TIMEVALUE(LEFT(Z928,FIND("(",Z928&amp;"(")-1))+1,TIMEVALUE(LEFT(Z928,FIND("(",Z928&amp;"(")-1)))-60/1440&gt;IF(TIMEVALUE(LEFT(Z930,FIND("(",Z930&amp;"(")-1))&lt;=TIME(3,59,59),TIMEVALUE(LEFT(Z930,FIND("(",Z930&amp;"(")-1))+1,TIMEVALUE(LEFT(Z930,FIND("(",Z930&amp;"(")-1))))</formula>
    </cfRule>
  </conditionalFormatting>
  <conditionalFormatting sqref="N933:R933">
    <cfRule type="expression" priority="390" dxfId="4514">
      <formula>AND(ISNUMBER(TIMEVALUE(LEFT(N933,FIND("(",N933&amp;"(")-1))),ISNUMBER(TIMEVALUE(LEFT(N935,FIND("(",N935&amp;"(")-1))),IF(TIMEVALUE(LEFT(N933,FIND("(",N933&amp;"(")-1))&lt;=TIME(3,59,59),TIMEVALUE(LEFT(N933,FIND("(",N933&amp;"(")-1))+1,TIMEVALUE(LEFT(N933,FIND("(",N933&amp;"(")-1)))+60/1440&lt;IF(TIMEVALUE(LEFT(N935,FIND("(",N935&amp;"(")-1))&lt;=TIME(3,59,59),TIMEVALUE(LEFT(N935,FIND("(",N935&amp;"(")-1))+1,TIMEVALUE(LEFT(N935,FIND("(",N935&amp;"(")-1))))</formula>
    </cfRule>
  </conditionalFormatting>
  <conditionalFormatting sqref="Z933:AD933">
    <cfRule type="expression" priority="330" dxfId="4514">
      <formula>AND(ISNUMBER(TIMEVALUE(LEFT(Z933,FIND("(",Z933&amp;"(")-1))),ISNUMBER(TIMEVALUE(LEFT(Z935,FIND("(",Z935&amp;"(")-1))),IF(TIMEVALUE(LEFT(Z933,FIND("(",Z933&amp;"(")-1))&lt;=TIME(3,59,59),TIMEVALUE(LEFT(Z933,FIND("(",Z933&amp;"(")-1))+1,TIMEVALUE(LEFT(Z933,FIND("(",Z933&amp;"(")-1)))+60/1440&lt;IF(TIMEVALUE(LEFT(Z935,FIND("(",Z935&amp;"(")-1))&lt;=TIME(3,59,59),TIMEVALUE(LEFT(Z935,FIND("(",Z935&amp;"(")-1))+1,TIMEVALUE(LEFT(Z935,FIND("(",Z935&amp;"(")-1))))</formula>
    </cfRule>
  </conditionalFormatting>
  <conditionalFormatting sqref="N934:R934">
    <cfRule type="expression" priority="400" dxfId="4514">
      <formula>AND(ISNUMBER(TIMEVALUE(LEFT(N934,FIND("(",N934&amp;"(")-1))),ISNUMBER(TIMEVALUE(LEFT(N936,FIND("(",N936&amp;"(")-1))),IF(TIMEVALUE(LEFT(N934,FIND("(",N934&amp;"(")-1))&lt;=TIME(3,59,59),TIMEVALUE(LEFT(N934,FIND("(",N934&amp;"(")-1))+1,TIMEVALUE(LEFT(N934,FIND("(",N934&amp;"(")-1)))-60/1440&gt;IF(TIMEVALUE(LEFT(N936,FIND("(",N936&amp;"(")-1))&lt;=TIME(3,59,59),TIMEVALUE(LEFT(N936,FIND("(",N936&amp;"(")-1))+1,TIMEVALUE(LEFT(N936,FIND("(",N936&amp;"(")-1))))</formula>
    </cfRule>
  </conditionalFormatting>
  <conditionalFormatting sqref="Z934:AD934">
    <cfRule type="expression" priority="340" dxfId="4514">
      <formula>AND(ISNUMBER(TIMEVALUE(LEFT(Z934,FIND("(",Z934&amp;"(")-1))),ISNUMBER(TIMEVALUE(LEFT(Z936,FIND("(",Z936&amp;"(")-1))),IF(TIMEVALUE(LEFT(Z934,FIND("(",Z934&amp;"(")-1))&lt;=TIME(3,59,59),TIMEVALUE(LEFT(Z934,FIND("(",Z934&amp;"(")-1))+1,TIMEVALUE(LEFT(Z934,FIND("(",Z934&amp;"(")-1)))-60/1440&gt;IF(TIMEVALUE(LEFT(Z936,FIND("(",Z936&amp;"(")-1))&lt;=TIME(3,59,59),TIMEVALUE(LEFT(Z936,FIND("(",Z936&amp;"(")-1))+1,TIMEVALUE(LEFT(Z936,FIND("(",Z936&amp;"(")-1))))</formula>
    </cfRule>
  </conditionalFormatting>
  <conditionalFormatting sqref="N939:R939">
    <cfRule type="expression" priority="389" dxfId="4514">
      <formula>AND(ISNUMBER(TIMEVALUE(LEFT(N939,FIND("(",N939&amp;"(")-1))),ISNUMBER(TIMEVALUE(LEFT(N941,FIND("(",N941&amp;"(")-1))),IF(TIMEVALUE(LEFT(N939,FIND("(",N939&amp;"(")-1))&lt;=TIME(3,59,59),TIMEVALUE(LEFT(N939,FIND("(",N939&amp;"(")-1))+1,TIMEVALUE(LEFT(N939,FIND("(",N939&amp;"(")-1)))+60/1440&lt;IF(TIMEVALUE(LEFT(N941,FIND("(",N941&amp;"(")-1))&lt;=TIME(3,59,59),TIMEVALUE(LEFT(N941,FIND("(",N941&amp;"(")-1))+1,TIMEVALUE(LEFT(N941,FIND("(",N941&amp;"(")-1))))</formula>
    </cfRule>
  </conditionalFormatting>
  <conditionalFormatting sqref="Z939:AD939">
    <cfRule type="expression" priority="329" dxfId="4514">
      <formula>AND(ISNUMBER(TIMEVALUE(LEFT(Z939,FIND("(",Z939&amp;"(")-1))),ISNUMBER(TIMEVALUE(LEFT(Z941,FIND("(",Z941&amp;"(")-1))),IF(TIMEVALUE(LEFT(Z939,FIND("(",Z939&amp;"(")-1))&lt;=TIME(3,59,59),TIMEVALUE(LEFT(Z939,FIND("(",Z939&amp;"(")-1))+1,TIMEVALUE(LEFT(Z939,FIND("(",Z939&amp;"(")-1)))+60/1440&lt;IF(TIMEVALUE(LEFT(Z941,FIND("(",Z941&amp;"(")-1))&lt;=TIME(3,59,59),TIMEVALUE(LEFT(Z941,FIND("(",Z941&amp;"(")-1))+1,TIMEVALUE(LEFT(Z941,FIND("(",Z941&amp;"(")-1))))</formula>
    </cfRule>
  </conditionalFormatting>
  <conditionalFormatting sqref="N940:R940">
    <cfRule type="expression" priority="399" dxfId="4514">
      <formula>AND(ISNUMBER(TIMEVALUE(LEFT(N940,FIND("(",N940&amp;"(")-1))),ISNUMBER(TIMEVALUE(LEFT(N942,FIND("(",N942&amp;"(")-1))),IF(TIMEVALUE(LEFT(N940,FIND("(",N940&amp;"(")-1))&lt;=TIME(3,59,59),TIMEVALUE(LEFT(N940,FIND("(",N940&amp;"(")-1))+1,TIMEVALUE(LEFT(N940,FIND("(",N940&amp;"(")-1)))-60/1440&gt;IF(TIMEVALUE(LEFT(N942,FIND("(",N942&amp;"(")-1))&lt;=TIME(3,59,59),TIMEVALUE(LEFT(N942,FIND("(",N942&amp;"(")-1))+1,TIMEVALUE(LEFT(N942,FIND("(",N942&amp;"(")-1))))</formula>
    </cfRule>
  </conditionalFormatting>
  <conditionalFormatting sqref="Z940:AD940">
    <cfRule type="expression" priority="339" dxfId="4514">
      <formula>AND(ISNUMBER(TIMEVALUE(LEFT(Z940,FIND("(",Z940&amp;"(")-1))),ISNUMBER(TIMEVALUE(LEFT(Z942,FIND("(",Z942&amp;"(")-1))),IF(TIMEVALUE(LEFT(Z940,FIND("(",Z940&amp;"(")-1))&lt;=TIME(3,59,59),TIMEVALUE(LEFT(Z940,FIND("(",Z940&amp;"(")-1))+1,TIMEVALUE(LEFT(Z940,FIND("(",Z940&amp;"(")-1)))-60/1440&gt;IF(TIMEVALUE(LEFT(Z942,FIND("(",Z942&amp;"(")-1))&lt;=TIME(3,59,59),TIMEVALUE(LEFT(Z942,FIND("(",Z942&amp;"(")-1))+1,TIMEVALUE(LEFT(Z942,FIND("(",Z942&amp;"(")-1))))</formula>
    </cfRule>
  </conditionalFormatting>
  <conditionalFormatting sqref="N945:R945">
    <cfRule type="expression" priority="388" dxfId="4514">
      <formula>AND(ISNUMBER(TIMEVALUE(LEFT(N945,FIND("(",N945&amp;"(")-1))),ISNUMBER(TIMEVALUE(LEFT(N947,FIND("(",N947&amp;"(")-1))),IF(TIMEVALUE(LEFT(N945,FIND("(",N945&amp;"(")-1))&lt;=TIME(3,59,59),TIMEVALUE(LEFT(N945,FIND("(",N945&amp;"(")-1))+1,TIMEVALUE(LEFT(N945,FIND("(",N945&amp;"(")-1)))+60/1440&lt;IF(TIMEVALUE(LEFT(N947,FIND("(",N947&amp;"(")-1))&lt;=TIME(3,59,59),TIMEVALUE(LEFT(N947,FIND("(",N947&amp;"(")-1))+1,TIMEVALUE(LEFT(N947,FIND("(",N947&amp;"(")-1))))</formula>
    </cfRule>
  </conditionalFormatting>
  <conditionalFormatting sqref="Z945:AD945">
    <cfRule type="expression" priority="328" dxfId="4514">
      <formula>AND(ISNUMBER(TIMEVALUE(LEFT(Z945,FIND("(",Z945&amp;"(")-1))),ISNUMBER(TIMEVALUE(LEFT(Z947,FIND("(",Z947&amp;"(")-1))),IF(TIMEVALUE(LEFT(Z945,FIND("(",Z945&amp;"(")-1))&lt;=TIME(3,59,59),TIMEVALUE(LEFT(Z945,FIND("(",Z945&amp;"(")-1))+1,TIMEVALUE(LEFT(Z945,FIND("(",Z945&amp;"(")-1)))+60/1440&lt;IF(TIMEVALUE(LEFT(Z947,FIND("(",Z947&amp;"(")-1))&lt;=TIME(3,59,59),TIMEVALUE(LEFT(Z947,FIND("(",Z947&amp;"(")-1))+1,TIMEVALUE(LEFT(Z947,FIND("(",Z947&amp;"(")-1))))</formula>
    </cfRule>
  </conditionalFormatting>
  <conditionalFormatting sqref="N946:R946">
    <cfRule type="expression" priority="398" dxfId="4514">
      <formula>AND(ISNUMBER(TIMEVALUE(LEFT(N946,FIND("(",N946&amp;"(")-1))),ISNUMBER(TIMEVALUE(LEFT(N948,FIND("(",N948&amp;"(")-1))),IF(TIMEVALUE(LEFT(N946,FIND("(",N946&amp;"(")-1))&lt;=TIME(3,59,59),TIMEVALUE(LEFT(N946,FIND("(",N946&amp;"(")-1))+1,TIMEVALUE(LEFT(N946,FIND("(",N946&amp;"(")-1)))-60/1440&gt;IF(TIMEVALUE(LEFT(N948,FIND("(",N948&amp;"(")-1))&lt;=TIME(3,59,59),TIMEVALUE(LEFT(N948,FIND("(",N948&amp;"(")-1))+1,TIMEVALUE(LEFT(N948,FIND("(",N948&amp;"(")-1))))</formula>
    </cfRule>
  </conditionalFormatting>
  <conditionalFormatting sqref="Z946:AD946">
    <cfRule type="expression" priority="338" dxfId="4514">
      <formula>AND(ISNUMBER(TIMEVALUE(LEFT(Z946,FIND("(",Z946&amp;"(")-1))),ISNUMBER(TIMEVALUE(LEFT(Z948,FIND("(",Z948&amp;"(")-1))),IF(TIMEVALUE(LEFT(Z946,FIND("(",Z946&amp;"(")-1))&lt;=TIME(3,59,59),TIMEVALUE(LEFT(Z946,FIND("(",Z946&amp;"(")-1))+1,TIMEVALUE(LEFT(Z946,FIND("(",Z946&amp;"(")-1)))-60/1440&gt;IF(TIMEVALUE(LEFT(Z948,FIND("(",Z948&amp;"(")-1))&lt;=TIME(3,59,59),TIMEVALUE(LEFT(Z948,FIND("(",Z948&amp;"(")-1))+1,TIMEVALUE(LEFT(Z948,FIND("(",Z948&amp;"(")-1))))</formula>
    </cfRule>
  </conditionalFormatting>
  <conditionalFormatting sqref="N951:R951">
    <cfRule type="expression" priority="387" dxfId="4514">
      <formula>AND(ISNUMBER(TIMEVALUE(LEFT(N951,FIND("(",N951&amp;"(")-1))),ISNUMBER(TIMEVALUE(LEFT(N953,FIND("(",N953&amp;"(")-1))),IF(TIMEVALUE(LEFT(N951,FIND("(",N951&amp;"(")-1))&lt;=TIME(3,59,59),TIMEVALUE(LEFT(N951,FIND("(",N951&amp;"(")-1))+1,TIMEVALUE(LEFT(N951,FIND("(",N951&amp;"(")-1)))+60/1440&lt;IF(TIMEVALUE(LEFT(N953,FIND("(",N953&amp;"(")-1))&lt;=TIME(3,59,59),TIMEVALUE(LEFT(N953,FIND("(",N953&amp;"(")-1))+1,TIMEVALUE(LEFT(N953,FIND("(",N953&amp;"(")-1))))</formula>
    </cfRule>
  </conditionalFormatting>
  <conditionalFormatting sqref="Z951:AD951">
    <cfRule type="expression" priority="327" dxfId="4514">
      <formula>AND(ISNUMBER(TIMEVALUE(LEFT(Z951,FIND("(",Z951&amp;"(")-1))),ISNUMBER(TIMEVALUE(LEFT(Z953,FIND("(",Z953&amp;"(")-1))),IF(TIMEVALUE(LEFT(Z951,FIND("(",Z951&amp;"(")-1))&lt;=TIME(3,59,59),TIMEVALUE(LEFT(Z951,FIND("(",Z951&amp;"(")-1))+1,TIMEVALUE(LEFT(Z951,FIND("(",Z951&amp;"(")-1)))+60/1440&lt;IF(TIMEVALUE(LEFT(Z953,FIND("(",Z953&amp;"(")-1))&lt;=TIME(3,59,59),TIMEVALUE(LEFT(Z953,FIND("(",Z953&amp;"(")-1))+1,TIMEVALUE(LEFT(Z953,FIND("(",Z953&amp;"(")-1))))</formula>
    </cfRule>
  </conditionalFormatting>
  <conditionalFormatting sqref="N952:R952">
    <cfRule type="expression" priority="397" dxfId="4514">
      <formula>AND(ISNUMBER(TIMEVALUE(LEFT(N952,FIND("(",N952&amp;"(")-1))),ISNUMBER(TIMEVALUE(LEFT(N954,FIND("(",N954&amp;"(")-1))),IF(TIMEVALUE(LEFT(N952,FIND("(",N952&amp;"(")-1))&lt;=TIME(3,59,59),TIMEVALUE(LEFT(N952,FIND("(",N952&amp;"(")-1))+1,TIMEVALUE(LEFT(N952,FIND("(",N952&amp;"(")-1)))-60/1440&gt;IF(TIMEVALUE(LEFT(N954,FIND("(",N954&amp;"(")-1))&lt;=TIME(3,59,59),TIMEVALUE(LEFT(N954,FIND("(",N954&amp;"(")-1))+1,TIMEVALUE(LEFT(N954,FIND("(",N954&amp;"(")-1))))</formula>
    </cfRule>
  </conditionalFormatting>
  <conditionalFormatting sqref="Z952:AD952">
    <cfRule type="expression" priority="337" dxfId="4514">
      <formula>AND(ISNUMBER(TIMEVALUE(LEFT(Z952,FIND("(",Z952&amp;"(")-1))),ISNUMBER(TIMEVALUE(LEFT(Z954,FIND("(",Z954&amp;"(")-1))),IF(TIMEVALUE(LEFT(Z952,FIND("(",Z952&amp;"(")-1))&lt;=TIME(3,59,59),TIMEVALUE(LEFT(Z952,FIND("(",Z952&amp;"(")-1))+1,TIMEVALUE(LEFT(Z952,FIND("(",Z952&amp;"(")-1)))-60/1440&gt;IF(TIMEVALUE(LEFT(Z954,FIND("(",Z954&amp;"(")-1))&lt;=TIME(3,59,59),TIMEVALUE(LEFT(Z954,FIND("(",Z954&amp;"(")-1))+1,TIMEVALUE(LEFT(Z954,FIND("(",Z954&amp;"(")-1))))</formula>
    </cfRule>
  </conditionalFormatting>
  <conditionalFormatting sqref="N958:R958">
    <cfRule type="expression" priority="1250" dxfId="4514">
      <formula>AND(ISNUMBER(TIMEVALUE(LEFT(N958,FIND("(",N958&amp;"(")-1))),ISNUMBER(TIMEVALUE(LEFT(N960,FIND("(",N960&amp;"(")-1))),IF(TIMEVALUE(LEFT(N958,FIND("(",N958&amp;"(")-1))&lt;=TIME(3,59,59),TIMEVALUE(LEFT(N958,FIND("(",N958&amp;"(")-1))+1,TIMEVALUE(LEFT(N958,FIND("(",N958&amp;"(")-1)))+60/1440&lt;IF(TIMEVALUE(LEFT(N960,FIND("(",N960&amp;"(")-1))&lt;=TIME(3,59,59),TIMEVALUE(LEFT(N960,FIND("(",N960&amp;"(")-1))+1,TIMEVALUE(LEFT(N960,FIND("(",N960&amp;"(")-1))))</formula>
    </cfRule>
  </conditionalFormatting>
  <conditionalFormatting sqref="Z958:AD958">
    <cfRule type="expression" priority="1244" dxfId="4514">
      <formula>AND(ISNUMBER(TIMEVALUE(LEFT(Z958,FIND("(",Z958&amp;"(")-1))),ISNUMBER(TIMEVALUE(LEFT(Z960,FIND("(",Z960&amp;"(")-1))),IF(TIMEVALUE(LEFT(Z958,FIND("(",Z958&amp;"(")-1))&lt;=TIME(3,59,59),TIMEVALUE(LEFT(Z958,FIND("(",Z958&amp;"(")-1))+1,TIMEVALUE(LEFT(Z958,FIND("(",Z958&amp;"(")-1)))+60/1440&lt;IF(TIMEVALUE(LEFT(Z960,FIND("(",Z960&amp;"(")-1))&lt;=TIME(3,59,59),TIMEVALUE(LEFT(Z960,FIND("(",Z960&amp;"(")-1))+1,TIMEVALUE(LEFT(Z960,FIND("(",Z960&amp;"(")-1))))</formula>
    </cfRule>
  </conditionalFormatting>
  <conditionalFormatting sqref="N959:R959">
    <cfRule type="expression" priority="1251" dxfId="4514">
      <formula>AND(ISNUMBER(TIMEVALUE(LEFT(N959,FIND("(",N959&amp;"(")-1))),ISNUMBER(TIMEVALUE(LEFT(N961,FIND("(",N961&amp;"(")-1))),IF(TIMEVALUE(LEFT(N959,FIND("(",N959&amp;"(")-1))&lt;=TIME(3,59,59),TIMEVALUE(LEFT(N959,FIND("(",N959&amp;"(")-1))+1,TIMEVALUE(LEFT(N959,FIND("(",N959&amp;"(")-1)))-60/1440&gt;IF(TIMEVALUE(LEFT(N961,FIND("(",N961&amp;"(")-1))&lt;=TIME(3,59,59),TIMEVALUE(LEFT(N961,FIND("(",N961&amp;"(")-1))+1,TIMEVALUE(LEFT(N961,FIND("(",N961&amp;"(")-1))))</formula>
    </cfRule>
  </conditionalFormatting>
  <conditionalFormatting sqref="Z959:AD959">
    <cfRule type="expression" priority="1245" dxfId="4514">
      <formula>AND(ISNUMBER(TIMEVALUE(LEFT(Z959,FIND("(",Z959&amp;"(")-1))),ISNUMBER(TIMEVALUE(LEFT(Z961,FIND("(",Z961&amp;"(")-1))),IF(TIMEVALUE(LEFT(Z959,FIND("(",Z959&amp;"(")-1))&lt;=TIME(3,59,59),TIMEVALUE(LEFT(Z959,FIND("(",Z959&amp;"(")-1))+1,TIMEVALUE(LEFT(Z959,FIND("(",Z959&amp;"(")-1)))-60/1440&gt;IF(TIMEVALUE(LEFT(Z961,FIND("(",Z961&amp;"(")-1))&lt;=TIME(3,59,59),TIMEVALUE(LEFT(Z961,FIND("(",Z961&amp;"(")-1))+1,TIMEVALUE(LEFT(Z961,FIND("(",Z961&amp;"(")-1))))</formula>
    </cfRule>
  </conditionalFormatting>
  <conditionalFormatting sqref="N1033:R1033">
    <cfRule type="expression" priority="1182" dxfId="4514">
      <formula>AND(ISNUMBER(TIMEVALUE(LEFT(N1033,FIND("(",N1033&amp;"(")-1))),ISNUMBER(TIMEVALUE(LEFT(N1035,FIND("(",N1035&amp;"(")-1))),IF(TIMEVALUE(LEFT(N1033,FIND("(",N1033&amp;"(")-1))&lt;=TIME(3,59,59),TIMEVALUE(LEFT(N1033,FIND("(",N1033&amp;"(")-1))+1,TIMEVALUE(LEFT(N1033,FIND("(",N1033&amp;"(")-1)))+60/1440&lt;IF(TIMEVALUE(LEFT(N1035,FIND("(",N1035&amp;"(")-1))&lt;=TIME(3,59,59),TIMEVALUE(LEFT(N1035,FIND("(",N1035&amp;"(")-1))+1,TIMEVALUE(LEFT(N1035,FIND("(",N1035&amp;"(")-1))))</formula>
    </cfRule>
  </conditionalFormatting>
  <conditionalFormatting sqref="Z1033:AD1033">
    <cfRule type="expression" priority="1176" dxfId="4514">
      <formula>AND(ISNUMBER(TIMEVALUE(LEFT(Z1033,FIND("(",Z1033&amp;"(")-1))),ISNUMBER(TIMEVALUE(LEFT(Z1035,FIND("(",Z1035&amp;"(")-1))),IF(TIMEVALUE(LEFT(Z1033,FIND("(",Z1033&amp;"(")-1))&lt;=TIME(3,59,59),TIMEVALUE(LEFT(Z1033,FIND("(",Z1033&amp;"(")-1))+1,TIMEVALUE(LEFT(Z1033,FIND("(",Z1033&amp;"(")-1)))+60/1440&lt;IF(TIMEVALUE(LEFT(Z1035,FIND("(",Z1035&amp;"(")-1))&lt;=TIME(3,59,59),TIMEVALUE(LEFT(Z1035,FIND("(",Z1035&amp;"(")-1))+1,TIMEVALUE(LEFT(Z1035,FIND("(",Z1035&amp;"(")-1))))</formula>
    </cfRule>
  </conditionalFormatting>
  <conditionalFormatting sqref="N1034:R1034">
    <cfRule type="expression" priority="1183" dxfId="4514">
      <formula>AND(ISNUMBER(TIMEVALUE(LEFT(N1034,FIND("(",N1034&amp;"(")-1))),ISNUMBER(TIMEVALUE(LEFT(N1036,FIND("(",N1036&amp;"(")-1))),IF(TIMEVALUE(LEFT(N1034,FIND("(",N1034&amp;"(")-1))&lt;=TIME(3,59,59),TIMEVALUE(LEFT(N1034,FIND("(",N1034&amp;"(")-1))+1,TIMEVALUE(LEFT(N1034,FIND("(",N1034&amp;"(")-1)))-60/1440&gt;IF(TIMEVALUE(LEFT(N1036,FIND("(",N1036&amp;"(")-1))&lt;=TIME(3,59,59),TIMEVALUE(LEFT(N1036,FIND("(",N1036&amp;"(")-1))+1,TIMEVALUE(LEFT(N1036,FIND("(",N1036&amp;"(")-1))))</formula>
    </cfRule>
  </conditionalFormatting>
  <conditionalFormatting sqref="Z1034:AD1034">
    <cfRule type="expression" priority="1177" dxfId="4514">
      <formula>AND(ISNUMBER(TIMEVALUE(LEFT(Z1034,FIND("(",Z1034&amp;"(")-1))),ISNUMBER(TIMEVALUE(LEFT(Z1036,FIND("(",Z1036&amp;"(")-1))),IF(TIMEVALUE(LEFT(Z1034,FIND("(",Z1034&amp;"(")-1))&lt;=TIME(3,59,59),TIMEVALUE(LEFT(Z1034,FIND("(",Z1034&amp;"(")-1))+1,TIMEVALUE(LEFT(Z1034,FIND("(",Z1034&amp;"(")-1)))-60/1440&gt;IF(TIMEVALUE(LEFT(Z1036,FIND("(",Z1036&amp;"(")-1))&lt;=TIME(3,59,59),TIMEVALUE(LEFT(Z1036,FIND("(",Z1036&amp;"(")-1))+1,TIMEVALUE(LEFT(Z1036,FIND("(",Z1036&amp;"(")-1))))</formula>
    </cfRule>
  </conditionalFormatting>
  <conditionalFormatting sqref="N1039:R1039">
    <cfRule type="expression" priority="1165" dxfId="4514">
      <formula>AND(ISNUMBER(TIMEVALUE(LEFT(N1039,FIND("(",N1039&amp;"(")-1))),ISNUMBER(TIMEVALUE(LEFT(N1041,FIND("(",N1041&amp;"(")-1))),IF(TIMEVALUE(LEFT(N1039,FIND("(",N1039&amp;"(")-1))&lt;=TIME(3,59,59),TIMEVALUE(LEFT(N1039,FIND("(",N1039&amp;"(")-1))+1,TIMEVALUE(LEFT(N1039,FIND("(",N1039&amp;"(")-1)))+60/1440&lt;IF(TIMEVALUE(LEFT(N1041,FIND("(",N1041&amp;"(")-1))&lt;=TIME(3,59,59),TIMEVALUE(LEFT(N1041,FIND("(",N1041&amp;"(")-1))+1,TIMEVALUE(LEFT(N1041,FIND("(",N1041&amp;"(")-1))))</formula>
    </cfRule>
  </conditionalFormatting>
  <conditionalFormatting sqref="Z1039:AD1039">
    <cfRule type="expression" priority="1159" dxfId="4514">
      <formula>AND(ISNUMBER(TIMEVALUE(LEFT(Z1039,FIND("(",Z1039&amp;"(")-1))),ISNUMBER(TIMEVALUE(LEFT(Z1041,FIND("(",Z1041&amp;"(")-1))),IF(TIMEVALUE(LEFT(Z1039,FIND("(",Z1039&amp;"(")-1))&lt;=TIME(3,59,59),TIMEVALUE(LEFT(Z1039,FIND("(",Z1039&amp;"(")-1))+1,TIMEVALUE(LEFT(Z1039,FIND("(",Z1039&amp;"(")-1)))+60/1440&lt;IF(TIMEVALUE(LEFT(Z1041,FIND("(",Z1041&amp;"(")-1))&lt;=TIME(3,59,59),TIMEVALUE(LEFT(Z1041,FIND("(",Z1041&amp;"(")-1))+1,TIMEVALUE(LEFT(Z1041,FIND("(",Z1041&amp;"(")-1))))</formula>
    </cfRule>
  </conditionalFormatting>
  <conditionalFormatting sqref="N1040:R1040">
    <cfRule type="expression" priority="1166" dxfId="4514">
      <formula>AND(ISNUMBER(TIMEVALUE(LEFT(N1040,FIND("(",N1040&amp;"(")-1))),ISNUMBER(TIMEVALUE(LEFT(N1042,FIND("(",N1042&amp;"(")-1))),IF(TIMEVALUE(LEFT(N1040,FIND("(",N1040&amp;"(")-1))&lt;=TIME(3,59,59),TIMEVALUE(LEFT(N1040,FIND("(",N1040&amp;"(")-1))+1,TIMEVALUE(LEFT(N1040,FIND("(",N1040&amp;"(")-1)))-60/1440&gt;IF(TIMEVALUE(LEFT(N1042,FIND("(",N1042&amp;"(")-1))&lt;=TIME(3,59,59),TIMEVALUE(LEFT(N1042,FIND("(",N1042&amp;"(")-1))+1,TIMEVALUE(LEFT(N1042,FIND("(",N1042&amp;"(")-1))))</formula>
    </cfRule>
  </conditionalFormatting>
  <conditionalFormatting sqref="Z1040:AD1040">
    <cfRule type="expression" priority="1160" dxfId="4514">
      <formula>AND(ISNUMBER(TIMEVALUE(LEFT(Z1040,FIND("(",Z1040&amp;"(")-1))),ISNUMBER(TIMEVALUE(LEFT(Z1042,FIND("(",Z1042&amp;"(")-1))),IF(TIMEVALUE(LEFT(Z1040,FIND("(",Z1040&amp;"(")-1))&lt;=TIME(3,59,59),TIMEVALUE(LEFT(Z1040,FIND("(",Z1040&amp;"(")-1))+1,TIMEVALUE(LEFT(Z1040,FIND("(",Z1040&amp;"(")-1)))-60/1440&gt;IF(TIMEVALUE(LEFT(Z1042,FIND("(",Z1042&amp;"(")-1))&lt;=TIME(3,59,59),TIMEVALUE(LEFT(Z1042,FIND("(",Z1042&amp;"(")-1))+1,TIMEVALUE(LEFT(Z1042,FIND("(",Z1042&amp;"(")-1))))</formula>
    </cfRule>
  </conditionalFormatting>
  <conditionalFormatting sqref="N1387:R1387">
    <cfRule type="expression" priority="520" dxfId="4514">
      <formula>AND(ISNUMBER(TIMEVALUE(LEFT(N1387,FIND("(",N1387&amp;"(")-1))),ISNUMBER(TIMEVALUE(LEFT(N1389,FIND("(",N1389&amp;"(")-1))),IF(TIMEVALUE(LEFT(N1387,FIND("(",N1387&amp;"(")-1))&lt;=TIME(3,59,59),TIMEVALUE(LEFT(N1387,FIND("(",N1387&amp;"(")-1))+1,TIMEVALUE(LEFT(N1387,FIND("(",N1387&amp;"(")-1)))+60/1440&lt;IF(TIMEVALUE(LEFT(N1389,FIND("(",N1389&amp;"(")-1))&lt;=TIME(3,59,59),TIMEVALUE(LEFT(N1389,FIND("(",N1389&amp;"(")-1))+1,TIMEVALUE(LEFT(N1389,FIND("(",N1389&amp;"(")-1))))</formula>
    </cfRule>
  </conditionalFormatting>
  <conditionalFormatting sqref="Z1387:AD1387">
    <cfRule type="expression" priority="496" dxfId="4514">
      <formula>AND(ISNUMBER(TIMEVALUE(LEFT(Z1387,FIND("(",Z1387&amp;"(")-1))),ISNUMBER(TIMEVALUE(LEFT(Z1389,FIND("(",Z1389&amp;"(")-1))),IF(TIMEVALUE(LEFT(Z1387,FIND("(",Z1387&amp;"(")-1))&lt;=TIME(3,59,59),TIMEVALUE(LEFT(Z1387,FIND("(",Z1387&amp;"(")-1))+1,TIMEVALUE(LEFT(Z1387,FIND("(",Z1387&amp;"(")-1)))+60/1440&lt;IF(TIMEVALUE(LEFT(Z1389,FIND("(",Z1389&amp;"(")-1))&lt;=TIME(3,59,59),TIMEVALUE(LEFT(Z1389,FIND("(",Z1389&amp;"(")-1))+1,TIMEVALUE(LEFT(Z1389,FIND("(",Z1389&amp;"(")-1))))</formula>
    </cfRule>
  </conditionalFormatting>
  <conditionalFormatting sqref="N1388:R1388">
    <cfRule type="expression" priority="524" dxfId="4514">
      <formula>AND(ISNUMBER(TIMEVALUE(LEFT(N1388,FIND("(",N1388&amp;"(")-1))),ISNUMBER(TIMEVALUE(LEFT(N1390,FIND("(",N1390&amp;"(")-1))),IF(TIMEVALUE(LEFT(N1388,FIND("(",N1388&amp;"(")-1))&lt;=TIME(3,59,59),TIMEVALUE(LEFT(N1388,FIND("(",N1388&amp;"(")-1))+1,TIMEVALUE(LEFT(N1388,FIND("(",N1388&amp;"(")-1)))-60/1440&gt;IF(TIMEVALUE(LEFT(N1390,FIND("(",N1390&amp;"(")-1))&lt;=TIME(3,59,59),TIMEVALUE(LEFT(N1390,FIND("(",N1390&amp;"(")-1))+1,TIMEVALUE(LEFT(N1390,FIND("(",N1390&amp;"(")-1))))</formula>
    </cfRule>
  </conditionalFormatting>
  <conditionalFormatting sqref="Z1388:AD1388">
    <cfRule type="expression" priority="500" dxfId="4514">
      <formula>AND(ISNUMBER(TIMEVALUE(LEFT(Z1388,FIND("(",Z1388&amp;"(")-1))),ISNUMBER(TIMEVALUE(LEFT(Z1390,FIND("(",Z1390&amp;"(")-1))),IF(TIMEVALUE(LEFT(Z1388,FIND("(",Z1388&amp;"(")-1))&lt;=TIME(3,59,59),TIMEVALUE(LEFT(Z1388,FIND("(",Z1388&amp;"(")-1))+1,TIMEVALUE(LEFT(Z1388,FIND("(",Z1388&amp;"(")-1)))-60/1440&gt;IF(TIMEVALUE(LEFT(Z1390,FIND("(",Z1390&amp;"(")-1))&lt;=TIME(3,59,59),TIMEVALUE(LEFT(Z1390,FIND("(",Z1390&amp;"(")-1))+1,TIMEVALUE(LEFT(Z1390,FIND("(",Z1390&amp;"(")-1))))</formula>
    </cfRule>
  </conditionalFormatting>
  <conditionalFormatting sqref="N1393:R1393">
    <cfRule type="expression" priority="519" dxfId="4514">
      <formula>AND(ISNUMBER(TIMEVALUE(LEFT(N1393,FIND("(",N1393&amp;"(")-1))),ISNUMBER(TIMEVALUE(LEFT(N1395,FIND("(",N1395&amp;"(")-1))),IF(TIMEVALUE(LEFT(N1393,FIND("(",N1393&amp;"(")-1))&lt;=TIME(3,59,59),TIMEVALUE(LEFT(N1393,FIND("(",N1393&amp;"(")-1))+1,TIMEVALUE(LEFT(N1393,FIND("(",N1393&amp;"(")-1)))+60/1440&lt;IF(TIMEVALUE(LEFT(N1395,FIND("(",N1395&amp;"(")-1))&lt;=TIME(3,59,59),TIMEVALUE(LEFT(N1395,FIND("(",N1395&amp;"(")-1))+1,TIMEVALUE(LEFT(N1395,FIND("(",N1395&amp;"(")-1))))</formula>
    </cfRule>
  </conditionalFormatting>
  <conditionalFormatting sqref="Z1393:AD1393">
    <cfRule type="expression" priority="495" dxfId="4514">
      <formula>AND(ISNUMBER(TIMEVALUE(LEFT(Z1393,FIND("(",Z1393&amp;"(")-1))),ISNUMBER(TIMEVALUE(LEFT(Z1395,FIND("(",Z1395&amp;"(")-1))),IF(TIMEVALUE(LEFT(Z1393,FIND("(",Z1393&amp;"(")-1))&lt;=TIME(3,59,59),TIMEVALUE(LEFT(Z1393,FIND("(",Z1393&amp;"(")-1))+1,TIMEVALUE(LEFT(Z1393,FIND("(",Z1393&amp;"(")-1)))+60/1440&lt;IF(TIMEVALUE(LEFT(Z1395,FIND("(",Z1395&amp;"(")-1))&lt;=TIME(3,59,59),TIMEVALUE(LEFT(Z1395,FIND("(",Z1395&amp;"(")-1))+1,TIMEVALUE(LEFT(Z1395,FIND("(",Z1395&amp;"(")-1))))</formula>
    </cfRule>
  </conditionalFormatting>
  <conditionalFormatting sqref="N1394:R1394">
    <cfRule type="expression" priority="523" dxfId="4514">
      <formula>AND(ISNUMBER(TIMEVALUE(LEFT(N1394,FIND("(",N1394&amp;"(")-1))),ISNUMBER(TIMEVALUE(LEFT(N1396,FIND("(",N1396&amp;"(")-1))),IF(TIMEVALUE(LEFT(N1394,FIND("(",N1394&amp;"(")-1))&lt;=TIME(3,59,59),TIMEVALUE(LEFT(N1394,FIND("(",N1394&amp;"(")-1))+1,TIMEVALUE(LEFT(N1394,FIND("(",N1394&amp;"(")-1)))-60/1440&gt;IF(TIMEVALUE(LEFT(N1396,FIND("(",N1396&amp;"(")-1))&lt;=TIME(3,59,59),TIMEVALUE(LEFT(N1396,FIND("(",N1396&amp;"(")-1))+1,TIMEVALUE(LEFT(N1396,FIND("(",N1396&amp;"(")-1))))</formula>
    </cfRule>
  </conditionalFormatting>
  <conditionalFormatting sqref="Z1394:AD1394">
    <cfRule type="expression" priority="499" dxfId="4514">
      <formula>AND(ISNUMBER(TIMEVALUE(LEFT(Z1394,FIND("(",Z1394&amp;"(")-1))),ISNUMBER(TIMEVALUE(LEFT(Z1396,FIND("(",Z1396&amp;"(")-1))),IF(TIMEVALUE(LEFT(Z1394,FIND("(",Z1394&amp;"(")-1))&lt;=TIME(3,59,59),TIMEVALUE(LEFT(Z1394,FIND("(",Z1394&amp;"(")-1))+1,TIMEVALUE(LEFT(Z1394,FIND("(",Z1394&amp;"(")-1)))-60/1440&gt;IF(TIMEVALUE(LEFT(Z1396,FIND("(",Z1396&amp;"(")-1))&lt;=TIME(3,59,59),TIMEVALUE(LEFT(Z1396,FIND("(",Z1396&amp;"(")-1))+1,TIMEVALUE(LEFT(Z1396,FIND("(",Z1396&amp;"(")-1))))</formula>
    </cfRule>
  </conditionalFormatting>
  <conditionalFormatting sqref="N1399:R1399">
    <cfRule type="expression" priority="518" dxfId="4514">
      <formula>AND(ISNUMBER(TIMEVALUE(LEFT(N1399,FIND("(",N1399&amp;"(")-1))),ISNUMBER(TIMEVALUE(LEFT(N1401,FIND("(",N1401&amp;"(")-1))),IF(TIMEVALUE(LEFT(N1399,FIND("(",N1399&amp;"(")-1))&lt;=TIME(3,59,59),TIMEVALUE(LEFT(N1399,FIND("(",N1399&amp;"(")-1))+1,TIMEVALUE(LEFT(N1399,FIND("(",N1399&amp;"(")-1)))+60/1440&lt;IF(TIMEVALUE(LEFT(N1401,FIND("(",N1401&amp;"(")-1))&lt;=TIME(3,59,59),TIMEVALUE(LEFT(N1401,FIND("(",N1401&amp;"(")-1))+1,TIMEVALUE(LEFT(N1401,FIND("(",N1401&amp;"(")-1))))</formula>
    </cfRule>
  </conditionalFormatting>
  <conditionalFormatting sqref="Z1399:AD1399">
    <cfRule type="expression" priority="494" dxfId="4514">
      <formula>AND(ISNUMBER(TIMEVALUE(LEFT(Z1399,FIND("(",Z1399&amp;"(")-1))),ISNUMBER(TIMEVALUE(LEFT(Z1401,FIND("(",Z1401&amp;"(")-1))),IF(TIMEVALUE(LEFT(Z1399,FIND("(",Z1399&amp;"(")-1))&lt;=TIME(3,59,59),TIMEVALUE(LEFT(Z1399,FIND("(",Z1399&amp;"(")-1))+1,TIMEVALUE(LEFT(Z1399,FIND("(",Z1399&amp;"(")-1)))+60/1440&lt;IF(TIMEVALUE(LEFT(Z1401,FIND("(",Z1401&amp;"(")-1))&lt;=TIME(3,59,59),TIMEVALUE(LEFT(Z1401,FIND("(",Z1401&amp;"(")-1))+1,TIMEVALUE(LEFT(Z1401,FIND("(",Z1401&amp;"(")-1))))</formula>
    </cfRule>
  </conditionalFormatting>
  <conditionalFormatting sqref="N1400:R1400">
    <cfRule type="expression" priority="522" dxfId="4514">
      <formula>AND(ISNUMBER(TIMEVALUE(LEFT(N1400,FIND("(",N1400&amp;"(")-1))),ISNUMBER(TIMEVALUE(LEFT(N1402,FIND("(",N1402&amp;"(")-1))),IF(TIMEVALUE(LEFT(N1400,FIND("(",N1400&amp;"(")-1))&lt;=TIME(3,59,59),TIMEVALUE(LEFT(N1400,FIND("(",N1400&amp;"(")-1))+1,TIMEVALUE(LEFT(N1400,FIND("(",N1400&amp;"(")-1)))-60/1440&gt;IF(TIMEVALUE(LEFT(N1402,FIND("(",N1402&amp;"(")-1))&lt;=TIME(3,59,59),TIMEVALUE(LEFT(N1402,FIND("(",N1402&amp;"(")-1))+1,TIMEVALUE(LEFT(N1402,FIND("(",N1402&amp;"(")-1))))</formula>
    </cfRule>
  </conditionalFormatting>
  <conditionalFormatting sqref="Z1400:AD1400">
    <cfRule type="expression" priority="498" dxfId="4514">
      <formula>AND(ISNUMBER(TIMEVALUE(LEFT(Z1400,FIND("(",Z1400&amp;"(")-1))),ISNUMBER(TIMEVALUE(LEFT(Z1402,FIND("(",Z1402&amp;"(")-1))),IF(TIMEVALUE(LEFT(Z1400,FIND("(",Z1400&amp;"(")-1))&lt;=TIME(3,59,59),TIMEVALUE(LEFT(Z1400,FIND("(",Z1400&amp;"(")-1))+1,TIMEVALUE(LEFT(Z1400,FIND("(",Z1400&amp;"(")-1)))-60/1440&gt;IF(TIMEVALUE(LEFT(Z1402,FIND("(",Z1402&amp;"(")-1))&lt;=TIME(3,59,59),TIMEVALUE(LEFT(Z1402,FIND("(",Z1402&amp;"(")-1))+1,TIMEVALUE(LEFT(Z1402,FIND("(",Z1402&amp;"(")-1))))</formula>
    </cfRule>
  </conditionalFormatting>
  <conditionalFormatting sqref="N1405:R1405">
    <cfRule type="expression" priority="517" dxfId="4514">
      <formula>AND(ISNUMBER(TIMEVALUE(LEFT(N1405,FIND("(",N1405&amp;"(")-1))),ISNUMBER(TIMEVALUE(LEFT(N1407,FIND("(",N1407&amp;"(")-1))),IF(TIMEVALUE(LEFT(N1405,FIND("(",N1405&amp;"(")-1))&lt;=TIME(3,59,59),TIMEVALUE(LEFT(N1405,FIND("(",N1405&amp;"(")-1))+1,TIMEVALUE(LEFT(N1405,FIND("(",N1405&amp;"(")-1)))+60/1440&lt;IF(TIMEVALUE(LEFT(N1407,FIND("(",N1407&amp;"(")-1))&lt;=TIME(3,59,59),TIMEVALUE(LEFT(N1407,FIND("(",N1407&amp;"(")-1))+1,TIMEVALUE(LEFT(N1407,FIND("(",N1407&amp;"(")-1))))</formula>
    </cfRule>
  </conditionalFormatting>
  <conditionalFormatting sqref="Z1405:AD1405">
    <cfRule type="expression" priority="493" dxfId="4514">
      <formula>AND(ISNUMBER(TIMEVALUE(LEFT(Z1405,FIND("(",Z1405&amp;"(")-1))),ISNUMBER(TIMEVALUE(LEFT(Z1407,FIND("(",Z1407&amp;"(")-1))),IF(TIMEVALUE(LEFT(Z1405,FIND("(",Z1405&amp;"(")-1))&lt;=TIME(3,59,59),TIMEVALUE(LEFT(Z1405,FIND("(",Z1405&amp;"(")-1))+1,TIMEVALUE(LEFT(Z1405,FIND("(",Z1405&amp;"(")-1)))+60/1440&lt;IF(TIMEVALUE(LEFT(Z1407,FIND("(",Z1407&amp;"(")-1))&lt;=TIME(3,59,59),TIMEVALUE(LEFT(Z1407,FIND("(",Z1407&amp;"(")-1))+1,TIMEVALUE(LEFT(Z1407,FIND("(",Z1407&amp;"(")-1))))</formula>
    </cfRule>
  </conditionalFormatting>
  <conditionalFormatting sqref="N1406:R1406">
    <cfRule type="expression" priority="521" dxfId="4514">
      <formula>AND(ISNUMBER(TIMEVALUE(LEFT(N1406,FIND("(",N1406&amp;"(")-1))),ISNUMBER(TIMEVALUE(LEFT(N1408,FIND("(",N1408&amp;"(")-1))),IF(TIMEVALUE(LEFT(N1406,FIND("(",N1406&amp;"(")-1))&lt;=TIME(3,59,59),TIMEVALUE(LEFT(N1406,FIND("(",N1406&amp;"(")-1))+1,TIMEVALUE(LEFT(N1406,FIND("(",N1406&amp;"(")-1)))-60/1440&gt;IF(TIMEVALUE(LEFT(N1408,FIND("(",N1408&amp;"(")-1))&lt;=TIME(3,59,59),TIMEVALUE(LEFT(N1408,FIND("(",N1408&amp;"(")-1))+1,TIMEVALUE(LEFT(N1408,FIND("(",N1408&amp;"(")-1))))</formula>
    </cfRule>
  </conditionalFormatting>
  <conditionalFormatting sqref="Z1406:AD1406">
    <cfRule type="expression" priority="497" dxfId="4514">
      <formula>AND(ISNUMBER(TIMEVALUE(LEFT(Z1406,FIND("(",Z1406&amp;"(")-1))),ISNUMBER(TIMEVALUE(LEFT(Z1408,FIND("(",Z1408&amp;"(")-1))),IF(TIMEVALUE(LEFT(Z1406,FIND("(",Z1406&amp;"(")-1))&lt;=TIME(3,59,59),TIMEVALUE(LEFT(Z1406,FIND("(",Z1406&amp;"(")-1))+1,TIMEVALUE(LEFT(Z1406,FIND("(",Z1406&amp;"(")-1)))-60/1440&gt;IF(TIMEVALUE(LEFT(Z1408,FIND("(",Z1408&amp;"(")-1))&lt;=TIME(3,59,59),TIMEVALUE(LEFT(Z1408,FIND("(",Z1408&amp;"(")-1))+1,TIMEVALUE(LEFT(Z1408,FIND("(",Z1408&amp;"(")-1))))</formula>
    </cfRule>
  </conditionalFormatting>
  <conditionalFormatting sqref="F2:F4">
    <cfRule type="expression" priority="1336" dxfId="9065">
      <formula>F2&lt;#REF!</formula>
    </cfRule>
  </conditionalFormatting>
  <conditionalFormatting sqref="G7:G12">
    <cfRule type="expression" priority="6917" dxfId="9064">
      <formula>G11-F11&gt;0.5</formula>
    </cfRule>
  </conditionalFormatting>
  <conditionalFormatting sqref="G13:G18">
    <cfRule type="expression" priority="6919" dxfId="9064">
      <formula>G17-F17&gt;0.5</formula>
    </cfRule>
  </conditionalFormatting>
  <conditionalFormatting sqref="G19:G54">
    <cfRule type="expression" priority="6918" dxfId="9064">
      <formula>G23-F23&gt;0.5</formula>
    </cfRule>
  </conditionalFormatting>
  <conditionalFormatting sqref="G56:G61">
    <cfRule type="expression" priority="4695" dxfId="9064">
      <formula>G60-F60&gt;0.5</formula>
    </cfRule>
  </conditionalFormatting>
  <conditionalFormatting sqref="G62:G67">
    <cfRule type="expression" priority="4694" dxfId="9064">
      <formula>G66-F66&gt;0.5</formula>
    </cfRule>
  </conditionalFormatting>
  <conditionalFormatting sqref="G68:G73">
    <cfRule type="expression" priority="4693" dxfId="9064">
      <formula>G72-F72&gt;0.5</formula>
    </cfRule>
  </conditionalFormatting>
  <conditionalFormatting sqref="G74:G79">
    <cfRule type="expression" priority="4692" dxfId="9064">
      <formula>G78-F78&gt;0.5</formula>
    </cfRule>
  </conditionalFormatting>
  <conditionalFormatting sqref="G80:G85">
    <cfRule type="expression" priority="4691" dxfId="9064">
      <formula>G84-F84&gt;0.5</formula>
    </cfRule>
  </conditionalFormatting>
  <conditionalFormatting sqref="G86:G91">
    <cfRule type="expression" priority="4690" dxfId="9064">
      <formula>G90-F90&gt;0.5</formula>
    </cfRule>
  </conditionalFormatting>
  <conditionalFormatting sqref="G92:G97">
    <cfRule type="expression" priority="4689" dxfId="9064">
      <formula>G96-F96&gt;0.5</formula>
    </cfRule>
  </conditionalFormatting>
  <conditionalFormatting sqref="G98:G103">
    <cfRule type="expression" priority="4688" dxfId="9064">
      <formula>G102-F102&gt;0.5</formula>
    </cfRule>
  </conditionalFormatting>
  <conditionalFormatting sqref="G104:G109">
    <cfRule type="expression" priority="4687" dxfId="9064">
      <formula>G108-F108&gt;0.5</formula>
    </cfRule>
  </conditionalFormatting>
  <conditionalFormatting sqref="G110:G115">
    <cfRule type="expression" priority="4686" dxfId="9064">
      <formula>G114-F114&gt;0.5</formula>
    </cfRule>
  </conditionalFormatting>
  <conditionalFormatting sqref="G116:G121">
    <cfRule type="expression" priority="4685" dxfId="9064">
      <formula>G120-F120&gt;0.5</formula>
    </cfRule>
  </conditionalFormatting>
  <conditionalFormatting sqref="G122:G127">
    <cfRule type="expression" priority="4684" dxfId="9064">
      <formula>G126-F126&gt;0.5</formula>
    </cfRule>
  </conditionalFormatting>
  <conditionalFormatting sqref="G128:G133">
    <cfRule type="expression" priority="4683" dxfId="9064">
      <formula>G132-F132&gt;0.5</formula>
    </cfRule>
  </conditionalFormatting>
  <conditionalFormatting sqref="G134:G139">
    <cfRule type="expression" priority="4682" dxfId="9064">
      <formula>G138-F138&gt;0.5</formula>
    </cfRule>
  </conditionalFormatting>
  <conditionalFormatting sqref="G140:G145">
    <cfRule type="expression" priority="4681" dxfId="9064">
      <formula>G144-F144&gt;0.5</formula>
    </cfRule>
  </conditionalFormatting>
  <conditionalFormatting sqref="G146:G151">
    <cfRule type="expression" priority="4680" dxfId="9064">
      <formula>G150-F150&gt;0.5</formula>
    </cfRule>
  </conditionalFormatting>
  <conditionalFormatting sqref="G152:G157">
    <cfRule type="expression" priority="4679" dxfId="9064">
      <formula>G156-F156&gt;0.5</formula>
    </cfRule>
  </conditionalFormatting>
  <conditionalFormatting sqref="G158:G163">
    <cfRule type="expression" priority="4678" dxfId="9064">
      <formula>G162-F162&gt;0.5</formula>
    </cfRule>
  </conditionalFormatting>
  <conditionalFormatting sqref="G164:G169">
    <cfRule type="expression" priority="4677" dxfId="9064">
      <formula>G168-F168&gt;0.5</formula>
    </cfRule>
  </conditionalFormatting>
  <conditionalFormatting sqref="G170:G175">
    <cfRule type="expression" priority="4676" dxfId="9064">
      <formula>G174-F174&gt;0.5</formula>
    </cfRule>
  </conditionalFormatting>
  <conditionalFormatting sqref="G176:G181">
    <cfRule type="expression" priority="4675" dxfId="9064">
      <formula>G180-F180&gt;0.5</formula>
    </cfRule>
  </conditionalFormatting>
  <conditionalFormatting sqref="G182:G187">
    <cfRule type="expression" priority="4674" dxfId="9064">
      <formula>G186-F186&gt;0.5</formula>
    </cfRule>
  </conditionalFormatting>
  <conditionalFormatting sqref="G188:G193">
    <cfRule type="expression" priority="4673" dxfId="9064">
      <formula>G192-F192&gt;0.5</formula>
    </cfRule>
  </conditionalFormatting>
  <conditionalFormatting sqref="G194:G199">
    <cfRule type="expression" priority="4672" dxfId="9064">
      <formula>G198-F198&gt;0.5</formula>
    </cfRule>
  </conditionalFormatting>
  <conditionalFormatting sqref="G200:G205">
    <cfRule type="expression" priority="4671" dxfId="9064">
      <formula>G204-F204&gt;0.5</formula>
    </cfRule>
  </conditionalFormatting>
  <conditionalFormatting sqref="G206:G211">
    <cfRule type="expression" priority="4670" dxfId="9064">
      <formula>G210-F210&gt;0.5</formula>
    </cfRule>
  </conditionalFormatting>
  <conditionalFormatting sqref="G212:G217">
    <cfRule type="expression" priority="4669" dxfId="9064">
      <formula>G216-F216&gt;0.5</formula>
    </cfRule>
  </conditionalFormatting>
  <conditionalFormatting sqref="G218:G223">
    <cfRule type="expression" priority="4668" dxfId="9064">
      <formula>G222-F222&gt;0.5</formula>
    </cfRule>
  </conditionalFormatting>
  <conditionalFormatting sqref="G224:G229">
    <cfRule type="expression" priority="4667" dxfId="9064">
      <formula>G228-F228&gt;0.5</formula>
    </cfRule>
  </conditionalFormatting>
  <conditionalFormatting sqref="G230:G235">
    <cfRule type="expression" priority="4666" dxfId="9064">
      <formula>G234-F234&gt;0.5</formula>
    </cfRule>
  </conditionalFormatting>
  <conditionalFormatting sqref="G236:G241">
    <cfRule type="expression" priority="4665" dxfId="9064">
      <formula>G240-F240&gt;0.5</formula>
    </cfRule>
  </conditionalFormatting>
  <conditionalFormatting sqref="G242:G247">
    <cfRule type="expression" priority="4664" dxfId="9064">
      <formula>G246-F246&gt;0.5</formula>
    </cfRule>
  </conditionalFormatting>
  <conditionalFormatting sqref="G248:G253">
    <cfRule type="expression" priority="4663" dxfId="9064">
      <formula>G252-F252&gt;0.5</formula>
    </cfRule>
  </conditionalFormatting>
  <conditionalFormatting sqref="G254:G259">
    <cfRule type="expression" priority="4662" dxfId="9064">
      <formula>G258-F258&gt;0.5</formula>
    </cfRule>
  </conditionalFormatting>
  <conditionalFormatting sqref="G260:G265">
    <cfRule type="expression" priority="4661" dxfId="9064">
      <formula>G264-F264&gt;0.5</formula>
    </cfRule>
  </conditionalFormatting>
  <conditionalFormatting sqref="G266:G271">
    <cfRule type="expression" priority="4660" dxfId="9064">
      <formula>G270-F270&gt;0.5</formula>
    </cfRule>
  </conditionalFormatting>
  <conditionalFormatting sqref="G272:G277">
    <cfRule type="expression" priority="4659" dxfId="9064">
      <formula>G276-F276&gt;0.5</formula>
    </cfRule>
  </conditionalFormatting>
  <conditionalFormatting sqref="G278:G283">
    <cfRule type="expression" priority="4658" dxfId="9064">
      <formula>G282-F282&gt;0.5</formula>
    </cfRule>
  </conditionalFormatting>
  <conditionalFormatting sqref="G284:G289">
    <cfRule type="expression" priority="4657" dxfId="9064">
      <formula>G288-F288&gt;0.5</formula>
    </cfRule>
  </conditionalFormatting>
  <conditionalFormatting sqref="G290:G295">
    <cfRule type="expression" priority="4656" dxfId="9064">
      <formula>G294-F294&gt;0.5</formula>
    </cfRule>
  </conditionalFormatting>
  <conditionalFormatting sqref="G296:G301">
    <cfRule type="expression" priority="4655" dxfId="9064">
      <formula>G300-F300&gt;0.5</formula>
    </cfRule>
  </conditionalFormatting>
  <conditionalFormatting sqref="G302:G307">
    <cfRule type="expression" priority="4654" dxfId="9064">
      <formula>G306-F306&gt;0.5</formula>
    </cfRule>
  </conditionalFormatting>
  <conditionalFormatting sqref="G308:G313">
    <cfRule type="expression" priority="4653" dxfId="9064">
      <formula>G312-F312&gt;0.5</formula>
    </cfRule>
  </conditionalFormatting>
  <conditionalFormatting sqref="G314:G319">
    <cfRule type="expression" priority="4652" dxfId="9064">
      <formula>G318-F318&gt;0.5</formula>
    </cfRule>
  </conditionalFormatting>
  <conditionalFormatting sqref="G320:G325">
    <cfRule type="expression" priority="4651" dxfId="9064">
      <formula>G324-F324&gt;0.5</formula>
    </cfRule>
  </conditionalFormatting>
  <conditionalFormatting sqref="G326:G331">
    <cfRule type="expression" priority="4650" dxfId="9064">
      <formula>G330-F330&gt;0.5</formula>
    </cfRule>
  </conditionalFormatting>
  <conditionalFormatting sqref="G332:G337">
    <cfRule type="expression" priority="4649" dxfId="9064">
      <formula>G336-F336&gt;0.5</formula>
    </cfRule>
  </conditionalFormatting>
  <conditionalFormatting sqref="G338:G343">
    <cfRule type="expression" priority="4648" dxfId="9064">
      <formula>G342-F342&gt;0.5</formula>
    </cfRule>
  </conditionalFormatting>
  <conditionalFormatting sqref="G344:G349">
    <cfRule type="expression" priority="4647" dxfId="9064">
      <formula>G348-F348&gt;0.5</formula>
    </cfRule>
  </conditionalFormatting>
  <conditionalFormatting sqref="G350:G355">
    <cfRule type="expression" priority="4646" dxfId="9064">
      <formula>G354-F354&gt;0.5</formula>
    </cfRule>
  </conditionalFormatting>
  <conditionalFormatting sqref="G356:G361">
    <cfRule type="expression" priority="4645" dxfId="9064">
      <formula>G360-F360&gt;0.5</formula>
    </cfRule>
  </conditionalFormatting>
  <conditionalFormatting sqref="G362:G367">
    <cfRule type="expression" priority="4644" dxfId="9064">
      <formula>G366-F366&gt;0.5</formula>
    </cfRule>
  </conditionalFormatting>
  <conditionalFormatting sqref="G368:G373">
    <cfRule type="expression" priority="4643" dxfId="9064">
      <formula>G372-F372&gt;0.5</formula>
    </cfRule>
  </conditionalFormatting>
  <conditionalFormatting sqref="G374:G379">
    <cfRule type="expression" priority="4642" dxfId="9064">
      <formula>G378-F378&gt;0.5</formula>
    </cfRule>
  </conditionalFormatting>
  <conditionalFormatting sqref="G380:G385">
    <cfRule type="expression" priority="4641" dxfId="9064">
      <formula>G384-F384&gt;0.5</formula>
    </cfRule>
  </conditionalFormatting>
  <conditionalFormatting sqref="G386:G391">
    <cfRule type="expression" priority="4640" dxfId="9064">
      <formula>G390-F390&gt;0.5</formula>
    </cfRule>
  </conditionalFormatting>
  <conditionalFormatting sqref="G392:G397">
    <cfRule type="expression" priority="4639" dxfId="9064">
      <formula>G396-F396&gt;0.5</formula>
    </cfRule>
  </conditionalFormatting>
  <conditionalFormatting sqref="G398:G403">
    <cfRule type="expression" priority="4638" dxfId="9064">
      <formula>G402-F402&gt;0.5</formula>
    </cfRule>
  </conditionalFormatting>
  <conditionalFormatting sqref="G404:G409">
    <cfRule type="expression" priority="4637" dxfId="9064">
      <formula>G408-F408&gt;0.5</formula>
    </cfRule>
  </conditionalFormatting>
  <conditionalFormatting sqref="G410:G415">
    <cfRule type="expression" priority="4636" dxfId="9064">
      <formula>G414-F414&gt;0.5</formula>
    </cfRule>
  </conditionalFormatting>
  <conditionalFormatting sqref="G416:G421">
    <cfRule type="expression" priority="4635" dxfId="9064">
      <formula>G420-F420&gt;0.5</formula>
    </cfRule>
  </conditionalFormatting>
  <conditionalFormatting sqref="G422:G427">
    <cfRule type="expression" priority="4634" dxfId="9064">
      <formula>G426-F426&gt;0.5</formula>
    </cfRule>
  </conditionalFormatting>
  <conditionalFormatting sqref="G428:G433">
    <cfRule type="expression" priority="4633" dxfId="9064">
      <formula>G432-F432&gt;0.5</formula>
    </cfRule>
  </conditionalFormatting>
  <conditionalFormatting sqref="G434:G439">
    <cfRule type="expression" priority="4632" dxfId="9064">
      <formula>G438-F438&gt;0.5</formula>
    </cfRule>
  </conditionalFormatting>
  <conditionalFormatting sqref="G440:G445">
    <cfRule type="expression" priority="4631" dxfId="9064">
      <formula>G444-F444&gt;0.5</formula>
    </cfRule>
  </conditionalFormatting>
  <conditionalFormatting sqref="G446:G451">
    <cfRule type="expression" priority="4630" dxfId="9064">
      <formula>G450-F450&gt;0.5</formula>
    </cfRule>
  </conditionalFormatting>
  <conditionalFormatting sqref="G452:G457">
    <cfRule type="expression" priority="4629" dxfId="9064">
      <formula>G456-F456&gt;0.5</formula>
    </cfRule>
  </conditionalFormatting>
  <conditionalFormatting sqref="G458:G463">
    <cfRule type="expression" priority="4628" dxfId="9064">
      <formula>G462-F462&gt;0.5</formula>
    </cfRule>
  </conditionalFormatting>
  <conditionalFormatting sqref="G464:G469">
    <cfRule type="expression" priority="4627" dxfId="9064">
      <formula>G468-F468&gt;0.5</formula>
    </cfRule>
  </conditionalFormatting>
  <conditionalFormatting sqref="G470:G475">
    <cfRule type="expression" priority="4626" dxfId="9064">
      <formula>G474-F474&gt;0.5</formula>
    </cfRule>
  </conditionalFormatting>
  <conditionalFormatting sqref="G476:G481">
    <cfRule type="expression" priority="4625" dxfId="9064">
      <formula>G480-F480&gt;0.5</formula>
    </cfRule>
  </conditionalFormatting>
  <conditionalFormatting sqref="G482:G487">
    <cfRule type="expression" priority="4624" dxfId="9064">
      <formula>G486-F486&gt;0.5</formula>
    </cfRule>
  </conditionalFormatting>
  <conditionalFormatting sqref="G488:G493">
    <cfRule type="expression" priority="4623" dxfId="9064">
      <formula>G492-F492&gt;0.5</formula>
    </cfRule>
  </conditionalFormatting>
  <conditionalFormatting sqref="G494:G495">
    <cfRule type="expression" priority="6886" dxfId="9064">
      <formula>G498-F498&gt;0.5</formula>
    </cfRule>
  </conditionalFormatting>
  <conditionalFormatting sqref="G496:G499">
    <cfRule type="expression" priority="7189" dxfId="9064">
      <formula>G686-F686&gt;0.5</formula>
    </cfRule>
  </conditionalFormatting>
  <conditionalFormatting sqref="G500:G501">
    <cfRule type="expression" priority="1106" dxfId="9064">
      <formula>G504-F504&gt;0.5</formula>
    </cfRule>
  </conditionalFormatting>
  <conditionalFormatting sqref="G502:G505">
    <cfRule type="expression" priority="1137" dxfId="9064">
      <formula>G692-F692&gt;0.5</formula>
    </cfRule>
  </conditionalFormatting>
  <conditionalFormatting sqref="G506:G507">
    <cfRule type="expression" priority="1105" dxfId="9064">
      <formula>G510-F510&gt;0.5</formula>
    </cfRule>
  </conditionalFormatting>
  <conditionalFormatting sqref="G508:G511">
    <cfRule type="expression" priority="1136" dxfId="9064">
      <formula>G698-F698&gt;0.5</formula>
    </cfRule>
  </conditionalFormatting>
  <conditionalFormatting sqref="G512:G513">
    <cfRule type="expression" priority="1104" dxfId="9064">
      <formula>G516-F516&gt;0.5</formula>
    </cfRule>
  </conditionalFormatting>
  <conditionalFormatting sqref="G514:G517">
    <cfRule type="expression" priority="1135" dxfId="9064">
      <formula>G704-F704&gt;0.5</formula>
    </cfRule>
  </conditionalFormatting>
  <conditionalFormatting sqref="G518:G519">
    <cfRule type="expression" priority="1103" dxfId="9064">
      <formula>G522-F522&gt;0.5</formula>
    </cfRule>
  </conditionalFormatting>
  <conditionalFormatting sqref="G520:G523">
    <cfRule type="expression" priority="1134" dxfId="9064">
      <formula>G710-F710&gt;0.5</formula>
    </cfRule>
  </conditionalFormatting>
  <conditionalFormatting sqref="G524:G525">
    <cfRule type="expression" priority="1102" dxfId="9064">
      <formula>G528-F528&gt;0.5</formula>
    </cfRule>
  </conditionalFormatting>
  <conditionalFormatting sqref="G526:G529">
    <cfRule type="expression" priority="1133" dxfId="9064">
      <formula>G716-F716&gt;0.5</formula>
    </cfRule>
  </conditionalFormatting>
  <conditionalFormatting sqref="G530:G531">
    <cfRule type="expression" priority="1101" dxfId="9064">
      <formula>G534-F534&gt;0.5</formula>
    </cfRule>
  </conditionalFormatting>
  <conditionalFormatting sqref="G532:G535">
    <cfRule type="expression" priority="1132" dxfId="9064">
      <formula>G722-F722&gt;0.5</formula>
    </cfRule>
  </conditionalFormatting>
  <conditionalFormatting sqref="G536:G537">
    <cfRule type="expression" priority="1100" dxfId="9064">
      <formula>G540-F540&gt;0.5</formula>
    </cfRule>
  </conditionalFormatting>
  <conditionalFormatting sqref="G538:G541">
    <cfRule type="expression" priority="1131" dxfId="9064">
      <formula>G728-F728&gt;0.5</formula>
    </cfRule>
  </conditionalFormatting>
  <conditionalFormatting sqref="G542:G543">
    <cfRule type="expression" priority="1099" dxfId="9064">
      <formula>G546-F546&gt;0.5</formula>
    </cfRule>
  </conditionalFormatting>
  <conditionalFormatting sqref="G544:G547">
    <cfRule type="expression" priority="1130" dxfId="9064">
      <formula>G734-F734&gt;0.5</formula>
    </cfRule>
  </conditionalFormatting>
  <conditionalFormatting sqref="G548:G549">
    <cfRule type="expression" priority="1098" dxfId="9064">
      <formula>G552-F552&gt;0.5</formula>
    </cfRule>
  </conditionalFormatting>
  <conditionalFormatting sqref="G550:G553">
    <cfRule type="expression" priority="1129" dxfId="9064">
      <formula>G740-F740&gt;0.5</formula>
    </cfRule>
  </conditionalFormatting>
  <conditionalFormatting sqref="G554:G555">
    <cfRule type="expression" priority="1097" dxfId="9064">
      <formula>G558-F558&gt;0.5</formula>
    </cfRule>
  </conditionalFormatting>
  <conditionalFormatting sqref="G556:G559">
    <cfRule type="expression" priority="1128" dxfId="9064">
      <formula>G746-F746&gt;0.5</formula>
    </cfRule>
  </conditionalFormatting>
  <conditionalFormatting sqref="G560:G561">
    <cfRule type="expression" priority="1096" dxfId="9064">
      <formula>G564-F564&gt;0.5</formula>
    </cfRule>
  </conditionalFormatting>
  <conditionalFormatting sqref="G562:G565">
    <cfRule type="expression" priority="1127" dxfId="9064">
      <formula>G752-F752&gt;0.5</formula>
    </cfRule>
  </conditionalFormatting>
  <conditionalFormatting sqref="G566:G567">
    <cfRule type="expression" priority="1095" dxfId="9064">
      <formula>G570-F570&gt;0.5</formula>
    </cfRule>
  </conditionalFormatting>
  <conditionalFormatting sqref="G568:G571">
    <cfRule type="expression" priority="1126" dxfId="9064">
      <formula>G758-F758&gt;0.5</formula>
    </cfRule>
  </conditionalFormatting>
  <conditionalFormatting sqref="G572:G573">
    <cfRule type="expression" priority="1094" dxfId="9064">
      <formula>G576-F576&gt;0.5</formula>
    </cfRule>
  </conditionalFormatting>
  <conditionalFormatting sqref="G574:G577">
    <cfRule type="expression" priority="1125" dxfId="9064">
      <formula>G764-F764&gt;0.5</formula>
    </cfRule>
  </conditionalFormatting>
  <conditionalFormatting sqref="G578:G579">
    <cfRule type="expression" priority="1093" dxfId="9064">
      <formula>G582-F582&gt;0.5</formula>
    </cfRule>
  </conditionalFormatting>
  <conditionalFormatting sqref="G580:G583">
    <cfRule type="expression" priority="1124" dxfId="9064">
      <formula>G770-F770&gt;0.5</formula>
    </cfRule>
  </conditionalFormatting>
  <conditionalFormatting sqref="G584:G585">
    <cfRule type="expression" priority="1092" dxfId="9064">
      <formula>G588-F588&gt;0.5</formula>
    </cfRule>
  </conditionalFormatting>
  <conditionalFormatting sqref="G586:G589">
    <cfRule type="expression" priority="1123" dxfId="9064">
      <formula>G776-F776&gt;0.5</formula>
    </cfRule>
  </conditionalFormatting>
  <conditionalFormatting sqref="G590:G591">
    <cfRule type="expression" priority="1091" dxfId="9064">
      <formula>G594-F594&gt;0.5</formula>
    </cfRule>
  </conditionalFormatting>
  <conditionalFormatting sqref="G592:G595">
    <cfRule type="expression" priority="1122" dxfId="9064">
      <formula>G782-F782&gt;0.5</formula>
    </cfRule>
  </conditionalFormatting>
  <conditionalFormatting sqref="G596:G597">
    <cfRule type="expression" priority="1090" dxfId="9064">
      <formula>G600-F600&gt;0.5</formula>
    </cfRule>
  </conditionalFormatting>
  <conditionalFormatting sqref="G598:G601">
    <cfRule type="expression" priority="1121" dxfId="9064">
      <formula>G788-F788&gt;0.5</formula>
    </cfRule>
  </conditionalFormatting>
  <conditionalFormatting sqref="G602:G603">
    <cfRule type="expression" priority="1089" dxfId="9064">
      <formula>G606-F606&gt;0.5</formula>
    </cfRule>
  </conditionalFormatting>
  <conditionalFormatting sqref="G604:G607">
    <cfRule type="expression" priority="1120" dxfId="9064">
      <formula>G794-F794&gt;0.5</formula>
    </cfRule>
  </conditionalFormatting>
  <conditionalFormatting sqref="G608:G609">
    <cfRule type="expression" priority="1088" dxfId="9064">
      <formula>G612-F612&gt;0.5</formula>
    </cfRule>
  </conditionalFormatting>
  <conditionalFormatting sqref="G610:G613">
    <cfRule type="expression" priority="1119" dxfId="9064">
      <formula>G800-F800&gt;0.5</formula>
    </cfRule>
  </conditionalFormatting>
  <conditionalFormatting sqref="G614:G615">
    <cfRule type="expression" priority="1087" dxfId="9064">
      <formula>G618-F618&gt;0.5</formula>
    </cfRule>
  </conditionalFormatting>
  <conditionalFormatting sqref="G616:G619">
    <cfRule type="expression" priority="1118" dxfId="9064">
      <formula>G806-F806&gt;0.5</formula>
    </cfRule>
  </conditionalFormatting>
  <conditionalFormatting sqref="G620:G621">
    <cfRule type="expression" priority="1086" dxfId="9064">
      <formula>G624-F624&gt;0.5</formula>
    </cfRule>
  </conditionalFormatting>
  <conditionalFormatting sqref="G622:G625">
    <cfRule type="expression" priority="1117" dxfId="9064">
      <formula>G812-F812&gt;0.5</formula>
    </cfRule>
  </conditionalFormatting>
  <conditionalFormatting sqref="G626:G627">
    <cfRule type="expression" priority="1085" dxfId="9064">
      <formula>G630-F630&gt;0.5</formula>
    </cfRule>
  </conditionalFormatting>
  <conditionalFormatting sqref="G628:G631">
    <cfRule type="expression" priority="1116" dxfId="9064">
      <formula>G818-F818&gt;0.5</formula>
    </cfRule>
  </conditionalFormatting>
  <conditionalFormatting sqref="G632:G633">
    <cfRule type="expression" priority="1084" dxfId="9064">
      <formula>G636-F636&gt;0.5</formula>
    </cfRule>
  </conditionalFormatting>
  <conditionalFormatting sqref="G634:G637">
    <cfRule type="expression" priority="1115" dxfId="9064">
      <formula>G824-F824&gt;0.5</formula>
    </cfRule>
  </conditionalFormatting>
  <conditionalFormatting sqref="G638:G639">
    <cfRule type="expression" priority="1083" dxfId="9064">
      <formula>G642-F642&gt;0.5</formula>
    </cfRule>
  </conditionalFormatting>
  <conditionalFormatting sqref="G640:G643">
    <cfRule type="expression" priority="1114" dxfId="9064">
      <formula>G830-F830&gt;0.5</formula>
    </cfRule>
  </conditionalFormatting>
  <conditionalFormatting sqref="G644:G645">
    <cfRule type="expression" priority="1082" dxfId="9064">
      <formula>G648-F648&gt;0.5</formula>
    </cfRule>
  </conditionalFormatting>
  <conditionalFormatting sqref="G646:G649">
    <cfRule type="expression" priority="1113" dxfId="9064">
      <formula>G836-F836&gt;0.5</formula>
    </cfRule>
  </conditionalFormatting>
  <conditionalFormatting sqref="G650:G651">
    <cfRule type="expression" priority="1081" dxfId="9064">
      <formula>G654-F654&gt;0.5</formula>
    </cfRule>
  </conditionalFormatting>
  <conditionalFormatting sqref="G652:G655">
    <cfRule type="expression" priority="1112" dxfId="9064">
      <formula>G842-F842&gt;0.5</formula>
    </cfRule>
  </conditionalFormatting>
  <conditionalFormatting sqref="G656:G657">
    <cfRule type="expression" priority="1080" dxfId="9064">
      <formula>G660-F660&gt;0.5</formula>
    </cfRule>
  </conditionalFormatting>
  <conditionalFormatting sqref="G658:G661">
    <cfRule type="expression" priority="1111" dxfId="9064">
      <formula>G848-F848&gt;0.5</formula>
    </cfRule>
  </conditionalFormatting>
  <conditionalFormatting sqref="G662:G663">
    <cfRule type="expression" priority="1079" dxfId="9064">
      <formula>G666-F666&gt;0.5</formula>
    </cfRule>
  </conditionalFormatting>
  <conditionalFormatting sqref="G664:G667">
    <cfRule type="expression" priority="1110" dxfId="9064">
      <formula>G854-F854&gt;0.5</formula>
    </cfRule>
  </conditionalFormatting>
  <conditionalFormatting sqref="G668:G669">
    <cfRule type="expression" priority="1078" dxfId="9064">
      <formula>G672-F672&gt;0.5</formula>
    </cfRule>
  </conditionalFormatting>
  <conditionalFormatting sqref="G670:G673">
    <cfRule type="expression" priority="1109" dxfId="9064">
      <formula>G860-F860&gt;0.5</formula>
    </cfRule>
  </conditionalFormatting>
  <conditionalFormatting sqref="G674:G675">
    <cfRule type="expression" priority="1077" dxfId="9064">
      <formula>G678-F678&gt;0.5</formula>
    </cfRule>
  </conditionalFormatting>
  <conditionalFormatting sqref="G676:G679">
    <cfRule type="expression" priority="1108" dxfId="9064">
      <formula>G866-F866&gt;0.5</formula>
    </cfRule>
  </conditionalFormatting>
  <conditionalFormatting sqref="G680:G681">
    <cfRule type="expression" priority="1076" dxfId="9064">
      <formula>G684-F684&gt;0.5</formula>
    </cfRule>
  </conditionalFormatting>
  <conditionalFormatting sqref="G682:G685">
    <cfRule type="expression" priority="1107" dxfId="9064">
      <formula>G872-F872&gt;0.5</formula>
    </cfRule>
  </conditionalFormatting>
  <conditionalFormatting sqref="G687:G692">
    <cfRule type="expression" priority="4352" dxfId="9064">
      <formula>G691-F691&gt;0.5</formula>
    </cfRule>
  </conditionalFormatting>
  <conditionalFormatting sqref="G693:G698">
    <cfRule type="expression" priority="4351" dxfId="9064">
      <formula>G697-F697&gt;0.5</formula>
    </cfRule>
  </conditionalFormatting>
  <conditionalFormatting sqref="G699:G704">
    <cfRule type="expression" priority="4350" dxfId="9064">
      <formula>G703-F703&gt;0.5</formula>
    </cfRule>
  </conditionalFormatting>
  <conditionalFormatting sqref="G705:G710">
    <cfRule type="expression" priority="4349" dxfId="9064">
      <formula>G709-F709&gt;0.5</formula>
    </cfRule>
  </conditionalFormatting>
  <conditionalFormatting sqref="G711:G716">
    <cfRule type="expression" priority="4348" dxfId="9064">
      <formula>G715-F715&gt;0.5</formula>
    </cfRule>
  </conditionalFormatting>
  <conditionalFormatting sqref="G717:G722">
    <cfRule type="expression" priority="4347" dxfId="9064">
      <formula>G721-F721&gt;0.5</formula>
    </cfRule>
  </conditionalFormatting>
  <conditionalFormatting sqref="G723:G728">
    <cfRule type="expression" priority="4346" dxfId="9064">
      <formula>G727-F727&gt;0.5</formula>
    </cfRule>
  </conditionalFormatting>
  <conditionalFormatting sqref="G729:G734">
    <cfRule type="expression" priority="4345" dxfId="9064">
      <formula>G733-F733&gt;0.5</formula>
    </cfRule>
  </conditionalFormatting>
  <conditionalFormatting sqref="G735:G740">
    <cfRule type="expression" priority="4344" dxfId="9064">
      <formula>G739-F739&gt;0.5</formula>
    </cfRule>
  </conditionalFormatting>
  <conditionalFormatting sqref="G741:G746">
    <cfRule type="expression" priority="4043" dxfId="9064">
      <formula>G745-F745&gt;0.5</formula>
    </cfRule>
  </conditionalFormatting>
  <conditionalFormatting sqref="G747:G752">
    <cfRule type="expression" priority="4042" dxfId="9064">
      <formula>G751-F751&gt;0.5</formula>
    </cfRule>
  </conditionalFormatting>
  <conditionalFormatting sqref="G753:G758">
    <cfRule type="expression" priority="4041" dxfId="9064">
      <formula>G757-F757&gt;0.5</formula>
    </cfRule>
  </conditionalFormatting>
  <conditionalFormatting sqref="G759:G764">
    <cfRule type="expression" priority="4040" dxfId="9064">
      <formula>G763-F763&gt;0.5</formula>
    </cfRule>
  </conditionalFormatting>
  <conditionalFormatting sqref="G765:G770">
    <cfRule type="expression" priority="4039" dxfId="9064">
      <formula>G769-F769&gt;0.5</formula>
    </cfRule>
  </conditionalFormatting>
  <conditionalFormatting sqref="G771:G776">
    <cfRule type="expression" priority="4038" dxfId="9064">
      <formula>G775-F775&gt;0.5</formula>
    </cfRule>
  </conditionalFormatting>
  <conditionalFormatting sqref="G777:G782">
    <cfRule type="expression" priority="4037" dxfId="9064">
      <formula>G781-F781&gt;0.5</formula>
    </cfRule>
  </conditionalFormatting>
  <conditionalFormatting sqref="G783:G788">
    <cfRule type="expression" priority="4036" dxfId="9064">
      <formula>G787-F787&gt;0.5</formula>
    </cfRule>
  </conditionalFormatting>
  <conditionalFormatting sqref="G789:G794">
    <cfRule type="expression" priority="4035" dxfId="9064">
      <formula>G793-F793&gt;0.5</formula>
    </cfRule>
  </conditionalFormatting>
  <conditionalFormatting sqref="G795:G800">
    <cfRule type="expression" priority="4034" dxfId="9064">
      <formula>G799-F799&gt;0.5</formula>
    </cfRule>
  </conditionalFormatting>
  <conditionalFormatting sqref="G801:G806">
    <cfRule type="expression" priority="3733" dxfId="9064">
      <formula>G805-F805&gt;0.5</formula>
    </cfRule>
  </conditionalFormatting>
  <conditionalFormatting sqref="G807:G812">
    <cfRule type="expression" priority="3732" dxfId="9064">
      <formula>G811-F811&gt;0.5</formula>
    </cfRule>
  </conditionalFormatting>
  <conditionalFormatting sqref="G813:G818">
    <cfRule type="expression" priority="3731" dxfId="9064">
      <formula>G817-F817&gt;0.5</formula>
    </cfRule>
  </conditionalFormatting>
  <conditionalFormatting sqref="G819:G824">
    <cfRule type="expression" priority="3730" dxfId="9064">
      <formula>G823-F823&gt;0.5</formula>
    </cfRule>
  </conditionalFormatting>
  <conditionalFormatting sqref="G825:G830">
    <cfRule type="expression" priority="3729" dxfId="9064">
      <formula>G829-F829&gt;0.5</formula>
    </cfRule>
  </conditionalFormatting>
  <conditionalFormatting sqref="G831:G836">
    <cfRule type="expression" priority="3728" dxfId="9064">
      <formula>G835-F835&gt;0.5</formula>
    </cfRule>
  </conditionalFormatting>
  <conditionalFormatting sqref="G837:G842">
    <cfRule type="expression" priority="3727" dxfId="9064">
      <formula>G841-F841&gt;0.5</formula>
    </cfRule>
  </conditionalFormatting>
  <conditionalFormatting sqref="G843:G848">
    <cfRule type="expression" priority="3726" dxfId="9064">
      <formula>G847-F847&gt;0.5</formula>
    </cfRule>
  </conditionalFormatting>
  <conditionalFormatting sqref="G849:G854">
    <cfRule type="expression" priority="3725" dxfId="9064">
      <formula>G853-F853&gt;0.5</formula>
    </cfRule>
  </conditionalFormatting>
  <conditionalFormatting sqref="G855:G860">
    <cfRule type="expression" priority="3724" dxfId="9064">
      <formula>G859-F859&gt;0.5</formula>
    </cfRule>
  </conditionalFormatting>
  <conditionalFormatting sqref="G861:G866">
    <cfRule type="expression" priority="3543" dxfId="9064">
      <formula>G865-F865&gt;0.5</formula>
    </cfRule>
  </conditionalFormatting>
  <conditionalFormatting sqref="G867:G872">
    <cfRule type="expression" priority="3542" dxfId="9064">
      <formula>G871-F871&gt;0.5</formula>
    </cfRule>
  </conditionalFormatting>
  <conditionalFormatting sqref="G873:G878">
    <cfRule type="expression" priority="3541" dxfId="9064">
      <formula>G877-F877&gt;0.5</formula>
    </cfRule>
  </conditionalFormatting>
  <conditionalFormatting sqref="G879:G884">
    <cfRule type="expression" priority="3540" dxfId="9064">
      <formula>G883-F883&gt;0.5</formula>
    </cfRule>
  </conditionalFormatting>
  <conditionalFormatting sqref="G885:G890">
    <cfRule type="expression" priority="3539" dxfId="9064">
      <formula>G889-F889&gt;0.5</formula>
    </cfRule>
  </conditionalFormatting>
  <conditionalFormatting sqref="G891:G892">
    <cfRule type="expression" priority="3538" dxfId="9064">
      <formula>G895-F895&gt;0.5</formula>
    </cfRule>
  </conditionalFormatting>
  <conditionalFormatting sqref="G893:G896">
    <cfRule type="expression" priority="7192" dxfId="9064">
      <formula>G957-F957&gt;0.5</formula>
    </cfRule>
  </conditionalFormatting>
  <conditionalFormatting sqref="G897:G898">
    <cfRule type="expression" priority="466" dxfId="9064">
      <formula>G901-F901&gt;0.5</formula>
    </cfRule>
  </conditionalFormatting>
  <conditionalFormatting sqref="G899:G902">
    <cfRule type="expression" priority="476" dxfId="9064">
      <formula>G963-F963&gt;0.5</formula>
    </cfRule>
  </conditionalFormatting>
  <conditionalFormatting sqref="G903:G904">
    <cfRule type="expression" priority="465" dxfId="9064">
      <formula>G907-F907&gt;0.5</formula>
    </cfRule>
  </conditionalFormatting>
  <conditionalFormatting sqref="G905:G908">
    <cfRule type="expression" priority="475" dxfId="9064">
      <formula>G969-F969&gt;0.5</formula>
    </cfRule>
  </conditionalFormatting>
  <conditionalFormatting sqref="G909:G910">
    <cfRule type="expression" priority="464" dxfId="9064">
      <formula>G913-F913&gt;0.5</formula>
    </cfRule>
  </conditionalFormatting>
  <conditionalFormatting sqref="G911:G914">
    <cfRule type="expression" priority="474" dxfId="9064">
      <formula>G975-F975&gt;0.5</formula>
    </cfRule>
  </conditionalFormatting>
  <conditionalFormatting sqref="G915:G916">
    <cfRule type="expression" priority="463" dxfId="9064">
      <formula>G919-F919&gt;0.5</formula>
    </cfRule>
  </conditionalFormatting>
  <conditionalFormatting sqref="G917:G920">
    <cfRule type="expression" priority="473" dxfId="9064">
      <formula>G981-F981&gt;0.5</formula>
    </cfRule>
  </conditionalFormatting>
  <conditionalFormatting sqref="G921:G922">
    <cfRule type="expression" priority="462" dxfId="9064">
      <formula>G925-F925&gt;0.5</formula>
    </cfRule>
  </conditionalFormatting>
  <conditionalFormatting sqref="G923:G926">
    <cfRule type="expression" priority="472" dxfId="9064">
      <formula>G987-F987&gt;0.5</formula>
    </cfRule>
  </conditionalFormatting>
  <conditionalFormatting sqref="G927:G928">
    <cfRule type="expression" priority="461" dxfId="9064">
      <formula>G931-F931&gt;0.5</formula>
    </cfRule>
  </conditionalFormatting>
  <conditionalFormatting sqref="G929:G932">
    <cfRule type="expression" priority="471" dxfId="9064">
      <formula>G993-F993&gt;0.5</formula>
    </cfRule>
  </conditionalFormatting>
  <conditionalFormatting sqref="G933:G934">
    <cfRule type="expression" priority="460" dxfId="9064">
      <formula>G937-F937&gt;0.5</formula>
    </cfRule>
  </conditionalFormatting>
  <conditionalFormatting sqref="G935:G938">
    <cfRule type="expression" priority="470" dxfId="9064">
      <formula>G999-F999&gt;0.5</formula>
    </cfRule>
  </conditionalFormatting>
  <conditionalFormatting sqref="G939:G940">
    <cfRule type="expression" priority="459" dxfId="9064">
      <formula>G943-F943&gt;0.5</formula>
    </cfRule>
  </conditionalFormatting>
  <conditionalFormatting sqref="G941:G944">
    <cfRule type="expression" priority="469" dxfId="9064">
      <formula>G1005-F1005&gt;0.5</formula>
    </cfRule>
  </conditionalFormatting>
  <conditionalFormatting sqref="G945:G946">
    <cfRule type="expression" priority="458" dxfId="9064">
      <formula>G949-F949&gt;0.5</formula>
    </cfRule>
  </conditionalFormatting>
  <conditionalFormatting sqref="G947:G950">
    <cfRule type="expression" priority="468" dxfId="9064">
      <formula>G1011-F1011&gt;0.5</formula>
    </cfRule>
  </conditionalFormatting>
  <conditionalFormatting sqref="G951:G952">
    <cfRule type="expression" priority="457" dxfId="9064">
      <formula>G955-F955&gt;0.5</formula>
    </cfRule>
  </conditionalFormatting>
  <conditionalFormatting sqref="G953:G956">
    <cfRule type="expression" priority="467" dxfId="9064">
      <formula>G1017-F1017&gt;0.5</formula>
    </cfRule>
  </conditionalFormatting>
  <conditionalFormatting sqref="G958:G963">
    <cfRule type="expression" priority="3507" dxfId="9064">
      <formula>G962-F962&gt;0.5</formula>
    </cfRule>
  </conditionalFormatting>
  <conditionalFormatting sqref="G965:G970">
    <cfRule type="expression" priority="3296" dxfId="9064">
      <formula>G969-F969&gt;0.5</formula>
    </cfRule>
  </conditionalFormatting>
  <conditionalFormatting sqref="G971:G976">
    <cfRule type="expression" priority="3295" dxfId="9064">
      <formula>G975-F975&gt;0.5</formula>
    </cfRule>
  </conditionalFormatting>
  <conditionalFormatting sqref="G977:G982">
    <cfRule type="expression" priority="3294" dxfId="9064">
      <formula>G981-F981&gt;0.5</formula>
    </cfRule>
  </conditionalFormatting>
  <conditionalFormatting sqref="G983:G988">
    <cfRule type="expression" priority="3293" dxfId="9064">
      <formula>G987-F987&gt;0.5</formula>
    </cfRule>
  </conditionalFormatting>
  <conditionalFormatting sqref="G989:G994">
    <cfRule type="expression" priority="3292" dxfId="9064">
      <formula>G993-F993&gt;0.5</formula>
    </cfRule>
  </conditionalFormatting>
  <conditionalFormatting sqref="G995:G1000">
    <cfRule type="expression" priority="3291" dxfId="9064">
      <formula>G999-F999&gt;0.5</formula>
    </cfRule>
  </conditionalFormatting>
  <conditionalFormatting sqref="G1001:G1006">
    <cfRule type="expression" priority="3290" dxfId="9064">
      <formula>G1005-F1005&gt;0.5</formula>
    </cfRule>
  </conditionalFormatting>
  <conditionalFormatting sqref="G1008:G1013">
    <cfRule type="expression" priority="3169" dxfId="9064">
      <formula>G1012-F1012&gt;0.5</formula>
    </cfRule>
  </conditionalFormatting>
  <conditionalFormatting sqref="G1014:G1019">
    <cfRule type="expression" priority="3168" dxfId="9064">
      <formula>G1018-F1018&gt;0.5</formula>
    </cfRule>
  </conditionalFormatting>
  <conditionalFormatting sqref="G1020:G1025">
    <cfRule type="expression" priority="3167" dxfId="9064">
      <formula>G1024-F1024&gt;0.5</formula>
    </cfRule>
  </conditionalFormatting>
  <conditionalFormatting sqref="G1026:G1031">
    <cfRule type="expression" priority="3166" dxfId="9064">
      <formula>G1030-F1030&gt;0.5</formula>
    </cfRule>
  </conditionalFormatting>
  <conditionalFormatting sqref="G1033:G1038">
    <cfRule type="expression" priority="3135" dxfId="9064">
      <formula>G1037-F1037&gt;0.5</formula>
    </cfRule>
  </conditionalFormatting>
  <conditionalFormatting sqref="G1039:G1044">
    <cfRule type="expression" priority="3044" dxfId="9064">
      <formula>G1043-F1043&gt;0.5</formula>
    </cfRule>
  </conditionalFormatting>
  <conditionalFormatting sqref="G1045:G1050">
    <cfRule type="expression" priority="3043" dxfId="9064">
      <formula>G1049-F1049&gt;0.5</formula>
    </cfRule>
  </conditionalFormatting>
  <conditionalFormatting sqref="G1051:G1056">
    <cfRule type="expression" priority="3042" dxfId="9064">
      <formula>G1055-F1055&gt;0.5</formula>
    </cfRule>
  </conditionalFormatting>
  <conditionalFormatting sqref="G1057:G1062">
    <cfRule type="expression" priority="1391" dxfId="9064">
      <formula>G1061-F1061&gt;0.5</formula>
    </cfRule>
  </conditionalFormatting>
  <conditionalFormatting sqref="G1063:G1068">
    <cfRule type="expression" priority="1390" dxfId="9064">
      <formula>G1067-F1067&gt;0.5</formula>
    </cfRule>
  </conditionalFormatting>
  <conditionalFormatting sqref="G1069:G1074">
    <cfRule type="expression" priority="1389" dxfId="9064">
      <formula>G1073-F1073&gt;0.5</formula>
    </cfRule>
  </conditionalFormatting>
  <conditionalFormatting sqref="G1075:G1080">
    <cfRule type="expression" priority="1388" dxfId="9064">
      <formula>G1079-F1079&gt;0.5</formula>
    </cfRule>
  </conditionalFormatting>
  <conditionalFormatting sqref="G1081:G1086">
    <cfRule type="expression" priority="1387" dxfId="9064">
      <formula>G1085-F1085&gt;0.5</formula>
    </cfRule>
  </conditionalFormatting>
  <conditionalFormatting sqref="G1087:G1092">
    <cfRule type="expression" priority="1386" dxfId="9064">
      <formula>G1091-F1091&gt;0.5</formula>
    </cfRule>
  </conditionalFormatting>
  <conditionalFormatting sqref="G1093:G1098">
    <cfRule type="expression" priority="1385" dxfId="9064">
      <formula>G1097-F1097&gt;0.5</formula>
    </cfRule>
  </conditionalFormatting>
  <conditionalFormatting sqref="G1099:G1104">
    <cfRule type="expression" priority="1384" dxfId="9064">
      <formula>G1103-F1103&gt;0.5</formula>
    </cfRule>
  </conditionalFormatting>
  <conditionalFormatting sqref="G1105:G1110">
    <cfRule type="expression" priority="1383" dxfId="9064">
      <formula>G1109-F1109&gt;0.5</formula>
    </cfRule>
  </conditionalFormatting>
  <conditionalFormatting sqref="G1111:G1116">
    <cfRule type="expression" priority="1382" dxfId="9064">
      <formula>G1115-F1115&gt;0.5</formula>
    </cfRule>
  </conditionalFormatting>
  <conditionalFormatting sqref="G1117:G1122">
    <cfRule type="expression" priority="1381" dxfId="9064">
      <formula>G1121-F1121&gt;0.5</formula>
    </cfRule>
  </conditionalFormatting>
  <conditionalFormatting sqref="G1123:G1128">
    <cfRule type="expression" priority="1380" dxfId="9064">
      <formula>G1127-F1127&gt;0.5</formula>
    </cfRule>
  </conditionalFormatting>
  <conditionalFormatting sqref="G1129:G1134">
    <cfRule type="expression" priority="1379" dxfId="9064">
      <formula>G1133-F1133&gt;0.5</formula>
    </cfRule>
  </conditionalFormatting>
  <conditionalFormatting sqref="G1135:G1140">
    <cfRule type="expression" priority="1378" dxfId="9064">
      <formula>G1139-F1139&gt;0.5</formula>
    </cfRule>
  </conditionalFormatting>
  <conditionalFormatting sqref="G1141:G1146">
    <cfRule type="expression" priority="1377" dxfId="9064">
      <formula>G1145-F1145&gt;0.5</formula>
    </cfRule>
  </conditionalFormatting>
  <conditionalFormatting sqref="G1147:G1152">
    <cfRule type="expression" priority="1376" dxfId="9064">
      <formula>G1151-F1151&gt;0.5</formula>
    </cfRule>
  </conditionalFormatting>
  <conditionalFormatting sqref="G1153:G1158">
    <cfRule type="expression" priority="1375" dxfId="9064">
      <formula>G1157-F1157&gt;0.5</formula>
    </cfRule>
  </conditionalFormatting>
  <conditionalFormatting sqref="G1159:G1164">
    <cfRule type="expression" priority="1374" dxfId="9064">
      <formula>G1163-F1163&gt;0.5</formula>
    </cfRule>
  </conditionalFormatting>
  <conditionalFormatting sqref="G1165:G1170">
    <cfRule type="expression" priority="1373" dxfId="9064">
      <formula>G1169-F1169&gt;0.5</formula>
    </cfRule>
  </conditionalFormatting>
  <conditionalFormatting sqref="G1171:G1176">
    <cfRule type="expression" priority="1372" dxfId="9064">
      <formula>G1175-F1175&gt;0.5</formula>
    </cfRule>
  </conditionalFormatting>
  <conditionalFormatting sqref="G1177:G1182">
    <cfRule type="expression" priority="1371" dxfId="9064">
      <formula>G1181-F1181&gt;0.5</formula>
    </cfRule>
  </conditionalFormatting>
  <conditionalFormatting sqref="G1183:G1188">
    <cfRule type="expression" priority="1370" dxfId="9064">
      <formula>G1187-F1187&gt;0.5</formula>
    </cfRule>
  </conditionalFormatting>
  <conditionalFormatting sqref="G1189:G1194">
    <cfRule type="expression" priority="1369" dxfId="9064">
      <formula>G1193-F1193&gt;0.5</formula>
    </cfRule>
  </conditionalFormatting>
  <conditionalFormatting sqref="G1195:G1200">
    <cfRule type="expression" priority="1368" dxfId="9064">
      <formula>G1199-F1199&gt;0.5</formula>
    </cfRule>
  </conditionalFormatting>
  <conditionalFormatting sqref="G1201:G1206">
    <cfRule type="expression" priority="1367" dxfId="9064">
      <formula>G1205-F1205&gt;0.5</formula>
    </cfRule>
  </conditionalFormatting>
  <conditionalFormatting sqref="G1207:G1212">
    <cfRule type="expression" priority="1366" dxfId="9064">
      <formula>G1211-F1211&gt;0.5</formula>
    </cfRule>
  </conditionalFormatting>
  <conditionalFormatting sqref="G1213:G1218">
    <cfRule type="expression" priority="1365" dxfId="9064">
      <formula>G1217-F1217&gt;0.5</formula>
    </cfRule>
  </conditionalFormatting>
  <conditionalFormatting sqref="G1219:G1224">
    <cfRule type="expression" priority="1364" dxfId="9064">
      <formula>G1223-F1223&gt;0.5</formula>
    </cfRule>
  </conditionalFormatting>
  <conditionalFormatting sqref="G1225:G1230">
    <cfRule type="expression" priority="1363" dxfId="9064">
      <formula>G1229-F1229&gt;0.5</formula>
    </cfRule>
  </conditionalFormatting>
  <conditionalFormatting sqref="G1231:G1236">
    <cfRule type="expression" priority="1362" dxfId="9064">
      <formula>G1235-F1235&gt;0.5</formula>
    </cfRule>
  </conditionalFormatting>
  <conditionalFormatting sqref="G1237:G1242">
    <cfRule type="expression" priority="1361" dxfId="9064">
      <formula>G1241-F1241&gt;0.5</formula>
    </cfRule>
  </conditionalFormatting>
  <conditionalFormatting sqref="G1243:G1248">
    <cfRule type="expression" priority="1360" dxfId="9064">
      <formula>G1247-F1247&gt;0.5</formula>
    </cfRule>
  </conditionalFormatting>
  <conditionalFormatting sqref="G1249:G1254">
    <cfRule type="expression" priority="1359" dxfId="9064">
      <formula>G1253-F1253&gt;0.5</formula>
    </cfRule>
  </conditionalFormatting>
  <conditionalFormatting sqref="G1255:G1260">
    <cfRule type="expression" priority="1358" dxfId="9064">
      <formula>G1259-F1259&gt;0.5</formula>
    </cfRule>
  </conditionalFormatting>
  <conditionalFormatting sqref="G1261:G1266">
    <cfRule type="expression" priority="1357" dxfId="9064">
      <formula>G1265-F1265&gt;0.5</formula>
    </cfRule>
  </conditionalFormatting>
  <conditionalFormatting sqref="G1267:G1272">
    <cfRule type="expression" priority="1356" dxfId="9064">
      <formula>G1271-F1271&gt;0.5</formula>
    </cfRule>
  </conditionalFormatting>
  <conditionalFormatting sqref="G1273:G1278">
    <cfRule type="expression" priority="1355" dxfId="9064">
      <formula>G1277-F1277&gt;0.5</formula>
    </cfRule>
  </conditionalFormatting>
  <conditionalFormatting sqref="G1279:G1284">
    <cfRule type="expression" priority="1354" dxfId="9064">
      <formula>G1283-F1283&gt;0.5</formula>
    </cfRule>
  </conditionalFormatting>
  <conditionalFormatting sqref="G1285:G1290">
    <cfRule type="expression" priority="1353" dxfId="9064">
      <formula>G1289-F1289&gt;0.5</formula>
    </cfRule>
  </conditionalFormatting>
  <conditionalFormatting sqref="G1291:G1296">
    <cfRule type="expression" priority="1352" dxfId="9064">
      <formula>G1295-F1295&gt;0.5</formula>
    </cfRule>
  </conditionalFormatting>
  <conditionalFormatting sqref="G1297:G1302">
    <cfRule type="expression" priority="1351" dxfId="9064">
      <formula>G1301-F1301&gt;0.5</formula>
    </cfRule>
  </conditionalFormatting>
  <conditionalFormatting sqref="G1303:G1308">
    <cfRule type="expression" priority="1350" dxfId="9064">
      <formula>G1307-F1307&gt;0.5</formula>
    </cfRule>
  </conditionalFormatting>
  <conditionalFormatting sqref="G1309:G1314">
    <cfRule type="expression" priority="1349" dxfId="9064">
      <formula>G1313-F1313&gt;0.5</formula>
    </cfRule>
  </conditionalFormatting>
  <conditionalFormatting sqref="G1315:G1320">
    <cfRule type="expression" priority="1348" dxfId="9064">
      <formula>G1319-F1319&gt;0.5</formula>
    </cfRule>
  </conditionalFormatting>
  <conditionalFormatting sqref="G1321:G1326">
    <cfRule type="expression" priority="1347" dxfId="9064">
      <formula>G1325-F1325&gt;0.5</formula>
    </cfRule>
  </conditionalFormatting>
  <conditionalFormatting sqref="G1327:G1332">
    <cfRule type="expression" priority="1346" dxfId="9064">
      <formula>G1331-F1331&gt;0.5</formula>
    </cfRule>
  </conditionalFormatting>
  <conditionalFormatting sqref="G1333:G1338">
    <cfRule type="expression" priority="1345" dxfId="9064">
      <formula>G1337-F1337&gt;0.5</formula>
    </cfRule>
  </conditionalFormatting>
  <conditionalFormatting sqref="G1339:G1344">
    <cfRule type="expression" priority="1344" dxfId="9064">
      <formula>G1343-F1343&gt;0.5</formula>
    </cfRule>
  </conditionalFormatting>
  <conditionalFormatting sqref="G1345:G1350">
    <cfRule type="expression" priority="1343" dxfId="9064">
      <formula>G1349-F1349&gt;0.5</formula>
    </cfRule>
  </conditionalFormatting>
  <conditionalFormatting sqref="G1351:G1356">
    <cfRule type="expression" priority="1342" dxfId="9064">
      <formula>G1355-F1355&gt;0.5</formula>
    </cfRule>
  </conditionalFormatting>
  <conditionalFormatting sqref="G1357:G1362">
    <cfRule type="expression" priority="1341" dxfId="9064">
      <formula>G1361-F1361&gt;0.5</formula>
    </cfRule>
  </conditionalFormatting>
  <conditionalFormatting sqref="G1363:G1368">
    <cfRule type="expression" priority="1340" dxfId="9064">
      <formula>G1367-F1367&gt;0.5</formula>
    </cfRule>
  </conditionalFormatting>
  <conditionalFormatting sqref="G1369:G1374">
    <cfRule type="expression" priority="1339" dxfId="9064">
      <formula>G1373-F1373&gt;0.5</formula>
    </cfRule>
  </conditionalFormatting>
  <conditionalFormatting sqref="G1375:G1380">
    <cfRule type="expression" priority="1338" dxfId="9064">
      <formula>G1379-F1379&gt;0.5</formula>
    </cfRule>
  </conditionalFormatting>
  <conditionalFormatting sqref="G1381:G1386">
    <cfRule type="expression" priority="1337" dxfId="9064">
      <formula>G1385-F1385&gt;0.5</formula>
    </cfRule>
  </conditionalFormatting>
  <conditionalFormatting sqref="G1387:G1392">
    <cfRule type="expression" priority="548" dxfId="9064">
      <formula>G1391-F1391&gt;0.5</formula>
    </cfRule>
  </conditionalFormatting>
  <conditionalFormatting sqref="G1393:G1398">
    <cfRule type="expression" priority="547" dxfId="9064">
      <formula>G1397-F1397&gt;0.5</formula>
    </cfRule>
  </conditionalFormatting>
  <conditionalFormatting sqref="G1399:G1404">
    <cfRule type="expression" priority="546" dxfId="9064">
      <formula>G1403-F1403&gt;0.5</formula>
    </cfRule>
  </conditionalFormatting>
  <conditionalFormatting sqref="G1405:G1410">
    <cfRule type="expression" priority="545" dxfId="9064">
      <formula>G1409-F1409&gt;0.5</formula>
    </cfRule>
  </conditionalFormatting>
  <conditionalFormatting sqref="G1411:G1048571">
    <cfRule type="expression" priority="7167" dxfId="9064">
      <formula>G1411-F1411&gt;0.5</formula>
    </cfRule>
    <cfRule type="expression" priority="7168" dxfId="9064">
      <formula>G1416-F1416&gt;0.5</formula>
    </cfRule>
  </conditionalFormatting>
  <conditionalFormatting sqref="G1048572:G1048576">
    <cfRule type="expression" priority="7193" dxfId="9064">
      <formula>G1048572-F1048572&gt;0.5</formula>
    </cfRule>
    <cfRule type="expression" priority="7194" dxfId="9064">
      <formula>#REF!-#REF!&gt;0.5</formula>
    </cfRule>
  </conditionalFormatting>
  <conditionalFormatting sqref="J7:L8 J13:L14 J19:L20 J25:L26 J31:L32 J37:L38 J43:L44 J49:L50 J56:L57 J62:L63 J68:L69 J74:L75 J80:L81 J86:L87 J92:L93 J98:L99 J104:L105 J110:L111 J116:L117 J122:L123 J128:L129 J134:L135 J140:L141 J146:L147 J152:L153 J158:L159 J164:L165 J170:L171 J176:L177 J182:L183 J188:L189 J194:L195 J200:L201 J206:L207 J212:L213 J218:L219 J224:L225 J230:L231 J236:L237 J242:L243 J248:L249 J254:L255 J260:L261 J266:L267 J272:L273 J278:L279 J284:L285 J290:L291 J296:L297 J302:L303 J308:L309 J314:L315 J320:L321 J326:L327 J332:L333 J338:L339 J344:L345 J350:L351 J356:L357 J362:L363 J368:L369 J374:L375 J380:L381 J386:L387 J392:L393 J398:L399 J404:L405 J410:L411 J416:L417 J422:L423 J428:L429 J434:L435 J440:L441 J446:L447 J452:L453 J458:L459 J464:L465 J470:L471 J476:L477 J482:L483 J488:L489 J494:L495 J500:L501 J506:L507 J512:L513 J518:L519 J524:L525 J530:L531 J536:L537 J542:L543 J548:L549 J554:L555 J560:L561 J566:L567 J572:L573 J578:L579 J584:L585 J590:L591 J596:L597 J602:L603 J608:L609 J614:L615 J620:L621 J626:L627 J632:L633 J638:L639 J644:L645 J650:L651 J656:L657 J662:L663 J668:L669 J674:L675 J680:L681 J687:L688 J693:L694 J699:L700 J705:L706 J711:L712 J717:L718 J723:L724 J729:L730 J735:L736 J741:L742 J747:L748 J753:L754 J759:L760 J765:L766 J771:L772 J777:L778 J783:L784 J789:L790 J795:L796 J801:L802 J807:L808 J813:L814 J819:L820 J825:L826 J831:L832 J837:L838 J843:L844 J849:L850 J855:L856 J861:L862 J867:L868 J873:L874 J879:L880 J885:L886 J891:L892 J897:L898 J903:L904 J909:L910 J915:L916 J921:L922 J927:L928 J933:L934 J939:L940 J945:L946 J951:L952 J958:L959 J965:L966 J971:L972 J977:L978 J983:L984 J989:L990 J995:L996 J1001:L1002 J1008:L1009 J1014:L1015 J1020:L1021 J1026:L1027 J1033:L1034 J1039:L1040 J1045:L1046 J1051:L1052 J1057:L1058 J1063:L1064 J1069:L1070 J1075:L1076 J1081:L1082 J1087:L1088 J1093:L1094 J1099:L1100 J1105:L1106 J1111:L1112 J1117:L1118 J1123:L1124 J1129:L1130 J1135:L1136 J1141:L1142 J1147:L1148 J1153:L1154 J1159:L1160 J1165:L1166 J1171:L1172 J1177:L1178 J1183:L1184 J1189:L1190 J1195:L1196 J1201:L1202 J1207:L1208 J1213:L1214 J1219:L1220 J1225:L1226 J1231:L1232 J1237:L1238 J1243:L1244 J1249:L1250 J1255:L1256 J1261:L1262 J1267:L1268 J1273:L1274 J1279:L1280 J1285:L1286 J1291:L1292 J1297:L1298 J1303:L1304 J1309:L1310 J1315:L1316 J1321:L1322 J1327:L1328 J1333:L1334 J1339:L1340 J1345:L1346 J1351:L1352 J1357:L1358 J1363:L1364 J1369:L1370 J1375:L1376 J1381:L1382 J1387:L1388 J1393:L1394 J1399:L1400 J1405:L1406 T7:X8 T13:X14 T19:X20 T25:X26 T31:X32 T37:X38 T43:X44 T49:X50 T56:X57 T62:X63 T68:X69 T74:X75 T80:X81 T86:X87 T92:X93 T98:X99 T104:X105 T110:X111 T116:X117 T122:X123 T128:X129 T134:X135 T140:X141 T146:X147 T152:X153 T158:X159 T164:X165 T170:X171 T176:X177 T182:X183 T188:X189 T194:X195 T200:X201 T206:X207 T212:X213 T218:X219 T224:X225 T230:X231 T236:X237 T242:X243 T248:X249 T254:X255 T260:X261 T266:X267 T272:X273 T278:X279 T284:X285 T290:X291 T296:X297 T302:X303 T308:X309 T314:X315 T320:X321 T326:X327 T332:X333 T338:X339 T344:X345 T350:X351 T356:X357 T362:X363 T368:X369 T374:X375 T380:X381 T386:X387 T392:X393 T398:X399 T404:X405 T410:X411 T416:X417 T422:X423 T428:X429 T434:X435 T440:X441 T446:X447 T452:X453 T458:X459 T464:X465 T470:X471 T476:X477 T482:X483 T488:X489 T494:X495 T500:X501 T506:X507 T512:X513 T518:X519 T524:X525 T530:X531 T536:X537 T542:X543 T548:X549 T554:X555 T560:X561 T566:X567 T572:X573 T578:X579 T584:X585 T590:X591 T596:X597 T602:X603 T608:X609 T614:X615 T620:X621 T626:X627 T632:X633 T638:X639 T644:X645 T650:X651 T656:X657 T662:X663 T668:X669 T674:X675 T680:X681 T687:X688 T693:X694 T699:X700 T705:X706 T711:X712 T717:X718 T723:X724 T729:X730 T735:X736 T741:X742 T747:X748 T753:X754 T759:X760 T765:X766 T771:X772 T777:X778 T783:X784 T789:X790 T795:X796 T801:X802 T807:X808 T813:X814 T819:X820 T825:X826 T831:X832 T837:X838 T843:X844 T849:X850 T855:X856 T861:X862 T867:X868 T873:X874 T879:X880 T885:X886 T891:X892 T897:X898 T903:X904 T909:X910 T915:X916 T921:X922 T927:X928 T933:X934 T939:X940 T945:X946 T951:X952 T958:X959 T965:X966 T971:X972 T977:X978 T983:X984 T989:X990 T995:X996 T1001:X1002 T1008:X1009 T1014:X1015 T1020:X1021 T1026:X1027 T1033:X1034 T1039:X1040 T1045:X1046 T1051:X1052 T1057:X1058 T1063:X1064 T1069:X1070 T1075:X1076 T1081:X1082 T1087:X1088 T1093:X1094 T1099:X1100 T1105:X1106 T1111:X1112 T1117:X1118 T1123:X1124 T1129:X1130 T1135:X1136 T1141:X1142 T1147:X1148 T1153:X1154 T1159:X1160 T1165:X1166 T1171:X1172 T1177:X1178 T1183:X1184 T1189:X1190 T1195:X1196 T1201:X1202 T1207:X1208 T1213:X1214 T1219:X1220 T1225:X1226 T1231:X1232 T1237:X1238 T1243:X1244 T1249:X1250 T1255:X1256 T1261:X1262 T1267:X1268 T1273:X1274 T1279:X1280 T1285:X1286 T1291:X1292 T1297:X1298 T1303:X1304 T1309:X1310 T1315:X1316 T1321:X1322 T1327:X1328 T1333:X1334 T1339:X1340 T1345:X1346 T1351:X1352 T1357:X1358 T1363:X1364 T1369:X1370 T1375:X1376 T1381:X1382 T1387:X1388 T1393:X1394 T1399:X1400 T1405:X1406">
    <cfRule type="expression" priority="247" dxfId="9039">
      <formula>J9="--:--"</formula>
    </cfRule>
  </conditionalFormatting>
  <conditionalFormatting sqref="N7:R8">
    <cfRule type="expression" priority="1198" dxfId="9039">
      <formula>N9="--:--"</formula>
    </cfRule>
  </conditionalFormatting>
  <conditionalFormatting sqref="Z7:AD8">
    <cfRule type="expression" priority="1192" dxfId="9039">
      <formula>Z9="--:--"</formula>
    </cfRule>
  </conditionalFormatting>
  <conditionalFormatting sqref="N13:R14">
    <cfRule type="expression" priority="1317" dxfId="9039">
      <formula>N15="--:--"</formula>
    </cfRule>
  </conditionalFormatting>
  <conditionalFormatting sqref="Z13:AD14">
    <cfRule type="expression" priority="1311" dxfId="9039">
      <formula>Z15="--:--"</formula>
    </cfRule>
  </conditionalFormatting>
  <conditionalFormatting sqref="N19:R19 N25:R25 N31:R31 N37:R37 N43:R43 N49:R49">
    <cfRule type="expression" priority="1301" dxfId="4514">
      <formula>AND(ISNUMBER(TIMEVALUE(LEFT(N19,FIND("(",N19&amp;"(")-1))),ISNUMBER(TIMEVALUE(LEFT(N21,FIND("(",N21&amp;"(")-1))),IF(TIMEVALUE(LEFT(N19,FIND("(",N19&amp;"(")-1))&lt;=TIME(3,59,59),TIMEVALUE(LEFT(N19,FIND("(",N19&amp;"(")-1))+1,TIMEVALUE(LEFT(N19,FIND("(",N19&amp;"(")-1)))+60/1440&lt;IF(TIMEVALUE(LEFT(N21,FIND("(",N21&amp;"(")-1))&lt;=TIME(3,59,59),TIMEVALUE(LEFT(N21,FIND("(",N21&amp;"(")-1))+1,TIMEVALUE(LEFT(N21,FIND("(",N21&amp;"(")-1))))</formula>
    </cfRule>
  </conditionalFormatting>
  <conditionalFormatting sqref="N19:R20 N25:R26 N31:R32 N37:R38 N43:R44 N49:R50">
    <cfRule type="expression" priority="1300" dxfId="9039">
      <formula>N21="--:--"</formula>
    </cfRule>
  </conditionalFormatting>
  <conditionalFormatting sqref="Z19:AD19 Z25:AD25 Z31:AD31 Z37:AD37 Z43:AD43 Z49:AD49">
    <cfRule type="expression" priority="1295" dxfId="4514">
      <formula>AND(ISNUMBER(TIMEVALUE(LEFT(Z19,FIND("(",Z19&amp;"(")-1))),ISNUMBER(TIMEVALUE(LEFT(Z21,FIND("(",Z21&amp;"(")-1))),IF(TIMEVALUE(LEFT(Z19,FIND("(",Z19&amp;"(")-1))&lt;=TIME(3,59,59),TIMEVALUE(LEFT(Z19,FIND("(",Z19&amp;"(")-1))+1,TIMEVALUE(LEFT(Z19,FIND("(",Z19&amp;"(")-1)))+60/1440&lt;IF(TIMEVALUE(LEFT(Z21,FIND("(",Z21&amp;"(")-1))&lt;=TIME(3,59,59),TIMEVALUE(LEFT(Z21,FIND("(",Z21&amp;"(")-1))+1,TIMEVALUE(LEFT(Z21,FIND("(",Z21&amp;"(")-1))))</formula>
    </cfRule>
  </conditionalFormatting>
  <conditionalFormatting sqref="Z19:AD20 Z25:AD26 Z31:AD32 Z37:AD38 Z43:AD44 Z49:AD50">
    <cfRule type="expression" priority="1294" dxfId="9039">
      <formula>Z21="--:--"</formula>
    </cfRule>
  </conditionalFormatting>
  <conditionalFormatting sqref="N20:R20 N26:R26 N32:R32 N38:R38 N44:R44 N50:R50">
    <cfRule type="expression" priority="1302" dxfId="4514">
      <formula>AND(ISNUMBER(TIMEVALUE(LEFT(N20,FIND("(",N20&amp;"(")-1))),ISNUMBER(TIMEVALUE(LEFT(N22,FIND("(",N22&amp;"(")-1))),IF(TIMEVALUE(LEFT(N20,FIND("(",N20&amp;"(")-1))&lt;=TIME(3,59,59),TIMEVALUE(LEFT(N20,FIND("(",N20&amp;"(")-1))+1,TIMEVALUE(LEFT(N20,FIND("(",N20&amp;"(")-1)))-60/1440&gt;IF(TIMEVALUE(LEFT(N22,FIND("(",N22&amp;"(")-1))&lt;=TIME(3,59,59),TIMEVALUE(LEFT(N22,FIND("(",N22&amp;"(")-1))+1,TIMEVALUE(LEFT(N22,FIND("(",N22&amp;"(")-1))))</formula>
    </cfRule>
  </conditionalFormatting>
  <conditionalFormatting sqref="Z20:AD20 Z26:AD26 Z32:AD32 Z38:AD38 Z44:AD44 Z50:AD50">
    <cfRule type="expression" priority="1296" dxfId="4514">
      <formula>AND(ISNUMBER(TIMEVALUE(LEFT(Z20,FIND("(",Z20&amp;"(")-1))),ISNUMBER(TIMEVALUE(LEFT(Z22,FIND("(",Z22&amp;"(")-1))),IF(TIMEVALUE(LEFT(Z20,FIND("(",Z20&amp;"(")-1))&lt;=TIME(3,59,59),TIMEVALUE(LEFT(Z20,FIND("(",Z20&amp;"(")-1))+1,TIMEVALUE(LEFT(Z20,FIND("(",Z20&amp;"(")-1)))-60/1440&gt;IF(TIMEVALUE(LEFT(Z22,FIND("(",Z22&amp;"(")-1))&lt;=TIME(3,59,59),TIMEVALUE(LEFT(Z22,FIND("(",Z22&amp;"(")-1))+1,TIMEVALUE(LEFT(Z22,FIND("(",Z22&amp;"(")-1))))</formula>
    </cfRule>
  </conditionalFormatting>
  <conditionalFormatting sqref="N56:R56 N62:R62 N68:R68 N74:R74 N80:R80 N86:R86 N92:R92 N98:R98 N104:R104 N110:R110 N116:R116 N122:R122 N128:R128 N134:R134 N140:R140 N146:R146 N152:R152 N158:R158 N164:R164 N170:R170 N176:R176 N182:R182 N188:R188 N194:R194 N200:R200 N206:R206 N212:R212 N218:R218 N224:R224 N230:R230 N236:R236 N242:R242 N248:R248 N254:R254 N260:R260 N266:R266 N272:R272 N278:R278 N284:R284 N290:R290 N296:R296 N302:R302 N308:R308 N314:R314 N320:R320 N326:R326 N332:R332 N338:R338 N344:R344 N350:R350 N356:R356 N362:R362 N368:R368 N374:R374 N380:R380 N386:R386 N392:R392 N398:R398 N404:R404 N410:R410 N416:R416 N422:R422 N428:R428 N434:R434 N440:R440 N446:R446 N452:R452 N458:R458 N464:R464 N470:R470 N476:R476 N482:R482 N488:R488 N494:R494">
    <cfRule type="expression" priority="1284" dxfId="4514">
      <formula>AND(ISNUMBER(TIMEVALUE(LEFT(N56,FIND("(",N56&amp;"(")-1))),ISNUMBER(TIMEVALUE(LEFT(N58,FIND("(",N58&amp;"(")-1))),IF(TIMEVALUE(LEFT(N56,FIND("(",N56&amp;"(")-1))&lt;=TIME(3,59,59),TIMEVALUE(LEFT(N56,FIND("(",N56&amp;"(")-1))+1,TIMEVALUE(LEFT(N56,FIND("(",N56&amp;"(")-1)))+60/1440&lt;IF(TIMEVALUE(LEFT(N58,FIND("(",N58&amp;"(")-1))&lt;=TIME(3,59,59),TIMEVALUE(LEFT(N58,FIND("(",N58&amp;"(")-1))+1,TIMEVALUE(LEFT(N58,FIND("(",N58&amp;"(")-1))))</formula>
    </cfRule>
  </conditionalFormatting>
  <conditionalFormatting sqref="N56:R57 N62:R63 N68:R69 N74:R75 N80:R81 N86:R87 N92:R93 N98:R99 N104:R105 N110:R111 N116:R117 N122:R123 N128:R129 N134:R135 N140:R141 N146:R147 N152:R153 N158:R159 N164:R165 N170:R171 N176:R177 N182:R183 N188:R189 N194:R195 N200:R201 N206:R207 N212:R213 N218:R219 N224:R225 N230:R231 N236:R237 N242:R243 N248:R249 N254:R255 N260:R261 N266:R267 N272:R273 N278:R279 N284:R285 N290:R291 N296:R297 N302:R303 N308:R309 N314:R315 N320:R321 N326:R327 N332:R333 N338:R339 N344:R345 N350:R351 N356:R357 N362:R363 N368:R369 N374:R375 N380:R381 N386:R387 N392:R393 N398:R399 N404:R405 N410:R411 N416:R417 N422:R423 N428:R429 N434:R435 N440:R441 N446:R447 N452:R453 N458:R459 N464:R465 N470:R471 N476:R477 N482:R483 N488:R489 N494:R495">
    <cfRule type="expression" priority="1283" dxfId="9039">
      <formula>N58="--:--"</formula>
    </cfRule>
  </conditionalFormatting>
  <conditionalFormatting sqref="Z56:AD56 Z62:AD62 Z68:AD68 Z74:AD74 Z80:AD80 Z86:AD86 Z92:AD92 Z98:AD98 Z104:AD104 Z110:AD110 Z116:AD116 Z122:AD122 Z128:AD128 Z134:AD134 Z140:AD140 Z146:AD146 Z152:AD152 Z158:AD158 Z164:AD164 Z170:AD170 Z176:AD176 Z182:AD182 Z188:AD188 Z194:AD194 Z200:AD200 Z206:AD206 Z212:AD212 Z218:AD218 Z224:AD224 Z230:AD230 Z236:AD236 Z242:AD242 Z248:AD248 Z254:AD254 Z260:AD260 Z266:AD266 Z272:AD272 Z278:AD278 Z284:AD284 Z290:AD290 Z296:AD296 Z302:AD302 Z308:AD308 Z314:AD314 Z320:AD320 Z326:AD326 Z332:AD332 Z338:AD338 Z344:AD344 Z350:AD350 Z356:AD356 Z362:AD362 Z368:AD368 Z374:AD374 Z380:AD380 Z386:AD386 Z392:AD392 Z398:AD398 Z404:AD404 Z410:AD410 Z416:AD416 Z422:AD422 Z428:AD428 Z434:AD434 Z440:AD440 Z446:AD446 Z452:AD452 Z458:AD458 Z464:AD464 Z470:AD470 Z476:AD476 Z482:AD482 Z488:AD488 Z494:AD494">
    <cfRule type="expression" priority="1278" dxfId="4514">
      <formula>AND(ISNUMBER(TIMEVALUE(LEFT(Z56,FIND("(",Z56&amp;"(")-1))),ISNUMBER(TIMEVALUE(LEFT(Z58,FIND("(",Z58&amp;"(")-1))),IF(TIMEVALUE(LEFT(Z56,FIND("(",Z56&amp;"(")-1))&lt;=TIME(3,59,59),TIMEVALUE(LEFT(Z56,FIND("(",Z56&amp;"(")-1))+1,TIMEVALUE(LEFT(Z56,FIND("(",Z56&amp;"(")-1)))+60/1440&lt;IF(TIMEVALUE(LEFT(Z58,FIND("(",Z58&amp;"(")-1))&lt;=TIME(3,59,59),TIMEVALUE(LEFT(Z58,FIND("(",Z58&amp;"(")-1))+1,TIMEVALUE(LEFT(Z58,FIND("(",Z58&amp;"(")-1))))</formula>
    </cfRule>
  </conditionalFormatting>
  <conditionalFormatting sqref="Z56:AD57 Z62:AD63 Z68:AD69 Z74:AD75 Z80:AD81 Z86:AD87 Z92:AD93 Z98:AD99 Z104:AD105 Z110:AD111 Z116:AD117 Z122:AD123 Z128:AD129 Z134:AD135 Z140:AD141 Z146:AD147 Z152:AD153 Z158:AD159 Z164:AD165 Z170:AD171 Z176:AD177 Z182:AD183 Z188:AD189 Z194:AD195 Z200:AD201 Z206:AD207 Z212:AD213 Z218:AD219 Z224:AD225 Z230:AD231 Z236:AD237 Z242:AD243 Z248:AD249 Z254:AD255 Z260:AD261 Z266:AD267 Z272:AD273 Z278:AD279 Z284:AD285 Z290:AD291 Z296:AD297 Z302:AD303 Z308:AD309 Z314:AD315 Z320:AD321 Z326:AD327 Z332:AD333 Z338:AD339 Z344:AD345 Z350:AD351 Z356:AD357 Z362:AD363 Z368:AD369 Z374:AD375 Z380:AD381 Z386:AD387 Z392:AD393 Z398:AD399 Z404:AD405 Z410:AD411 Z416:AD417 Z422:AD423 Z428:AD429 Z434:AD435 Z440:AD441 Z446:AD447 Z452:AD453 Z458:AD459 Z464:AD465 Z470:AD471 Z476:AD477 Z482:AD483 Z488:AD489 Z494:AD495">
    <cfRule type="expression" priority="1277" dxfId="9039">
      <formula>Z58="--:--"</formula>
    </cfRule>
  </conditionalFormatting>
  <conditionalFormatting sqref="N57:R57 N63:R63 N69:R69 N75:R75 N81:R81 N87:R87 N93:R93 N99:R99 N105:R105 N111:R111 N117:R117 N123:R123 N129:R129 N135:R135 N141:R141 N147:R147 N153:R153 N159:R159 N165:R165 N171:R171 N177:R177 N183:R183 N189:R189 N195:R195 N201:R201 N207:R207 N213:R213 N219:R219 N225:R225 N231:R231 N237:R237 N243:R243 N249:R249 N255:R255 N261:R261 N267:R267 N273:R273 N279:R279 N285:R285 N291:R291 N297:R297 N303:R303 N309:R309 N315:R315 N321:R321 N327:R327 N333:R333 N339:R339 N345:R345 N351:R351 N357:R357 N363:R363 N369:R369 N375:R375 N381:R381 N387:R387 N393:R393 N399:R399 N405:R405 N411:R411 N417:R417 N423:R423 N429:R429 N435:R435 N441:R441 N447:R447 N453:R453 N459:R459 N465:R465 N471:R471 N477:R477 N483:R483 N489:R489 N495:R495">
    <cfRule type="expression" priority="1285" dxfId="4514">
      <formula>AND(ISNUMBER(TIMEVALUE(LEFT(N57,FIND("(",N57&amp;"(")-1))),ISNUMBER(TIMEVALUE(LEFT(N59,FIND("(",N59&amp;"(")-1))),IF(TIMEVALUE(LEFT(N57,FIND("(",N57&amp;"(")-1))&lt;=TIME(3,59,59),TIMEVALUE(LEFT(N57,FIND("(",N57&amp;"(")-1))+1,TIMEVALUE(LEFT(N57,FIND("(",N57&amp;"(")-1)))-60/1440&gt;IF(TIMEVALUE(LEFT(N59,FIND("(",N59&amp;"(")-1))&lt;=TIME(3,59,59),TIMEVALUE(LEFT(N59,FIND("(",N59&amp;"(")-1))+1,TIMEVALUE(LEFT(N59,FIND("(",N59&amp;"(")-1))))</formula>
    </cfRule>
  </conditionalFormatting>
  <conditionalFormatting sqref="Z57:AD57 Z63:AD63 Z69:AD69 Z75:AD75 Z81:AD81 Z87:AD87 Z93:AD93 Z99:AD99 Z105:AD105 Z111:AD111 Z117:AD117 Z123:AD123 Z129:AD129 Z135:AD135 Z141:AD141 Z147:AD147 Z153:AD153 Z159:AD159 Z165:AD165 Z171:AD171 Z177:AD177 Z183:AD183 Z189:AD189 Z195:AD195 Z201:AD201 Z207:AD207 Z213:AD213 Z219:AD219 Z225:AD225 Z231:AD231 Z237:AD237 Z243:AD243 Z249:AD249 Z255:AD255 Z261:AD261 Z267:AD267 Z273:AD273 Z279:AD279 Z285:AD285 Z291:AD291 Z297:AD297 Z303:AD303 Z309:AD309 Z315:AD315 Z321:AD321 Z327:AD327 Z333:AD333 Z339:AD339 Z345:AD345 Z351:AD351 Z357:AD357 Z363:AD363 Z369:AD369 Z375:AD375 Z381:AD381 Z387:AD387 Z393:AD393 Z399:AD399 Z405:AD405 Z411:AD411 Z417:AD417 Z423:AD423 Z429:AD429 Z435:AD435 Z441:AD441 Z447:AD447 Z453:AD453 Z459:AD459 Z465:AD465 Z471:AD471 Z477:AD477 Z483:AD483 Z489:AD489 Z495:AD495">
    <cfRule type="expression" priority="1279" dxfId="4514">
      <formula>AND(ISNUMBER(TIMEVALUE(LEFT(Z57,FIND("(",Z57&amp;"(")-1))),ISNUMBER(TIMEVALUE(LEFT(Z59,FIND("(",Z59&amp;"(")-1))),IF(TIMEVALUE(LEFT(Z57,FIND("(",Z57&amp;"(")-1))&lt;=TIME(3,59,59),TIMEVALUE(LEFT(Z57,FIND("(",Z57&amp;"(")-1))+1,TIMEVALUE(LEFT(Z57,FIND("(",Z57&amp;"(")-1)))-60/1440&gt;IF(TIMEVALUE(LEFT(Z59,FIND("(",Z59&amp;"(")-1))&lt;=TIME(3,59,59),TIMEVALUE(LEFT(Z59,FIND("(",Z59&amp;"(")-1))+1,TIMEVALUE(LEFT(Z59,FIND("(",Z59&amp;"(")-1))))</formula>
    </cfRule>
  </conditionalFormatting>
  <conditionalFormatting sqref="N500:R501">
    <cfRule type="expression" priority="858" dxfId="9039">
      <formula>N502="--:--"</formula>
    </cfRule>
  </conditionalFormatting>
  <conditionalFormatting sqref="Z500:AD501">
    <cfRule type="expression" priority="672" dxfId="9039">
      <formula>Z502="--:--"</formula>
    </cfRule>
  </conditionalFormatting>
  <conditionalFormatting sqref="N506:R507">
    <cfRule type="expression" priority="857" dxfId="9039">
      <formula>N508="--:--"</formula>
    </cfRule>
  </conditionalFormatting>
  <conditionalFormatting sqref="Z506:AD507">
    <cfRule type="expression" priority="671" dxfId="9039">
      <formula>Z508="--:--"</formula>
    </cfRule>
  </conditionalFormatting>
  <conditionalFormatting sqref="N512:R513">
    <cfRule type="expression" priority="856" dxfId="9039">
      <formula>N514="--:--"</formula>
    </cfRule>
  </conditionalFormatting>
  <conditionalFormatting sqref="Z512:AD513">
    <cfRule type="expression" priority="670" dxfId="9039">
      <formula>Z514="--:--"</formula>
    </cfRule>
  </conditionalFormatting>
  <conditionalFormatting sqref="N518:R519">
    <cfRule type="expression" priority="855" dxfId="9039">
      <formula>N520="--:--"</formula>
    </cfRule>
  </conditionalFormatting>
  <conditionalFormatting sqref="Z518:AD519">
    <cfRule type="expression" priority="669" dxfId="9039">
      <formula>Z520="--:--"</formula>
    </cfRule>
  </conditionalFormatting>
  <conditionalFormatting sqref="N524:R525">
    <cfRule type="expression" priority="854" dxfId="9039">
      <formula>N526="--:--"</formula>
    </cfRule>
  </conditionalFormatting>
  <conditionalFormatting sqref="Z524:AD525">
    <cfRule type="expression" priority="668" dxfId="9039">
      <formula>Z526="--:--"</formula>
    </cfRule>
  </conditionalFormatting>
  <conditionalFormatting sqref="N530:R531">
    <cfRule type="expression" priority="853" dxfId="9039">
      <formula>N532="--:--"</formula>
    </cfRule>
  </conditionalFormatting>
  <conditionalFormatting sqref="Z530:AD531">
    <cfRule type="expression" priority="667" dxfId="9039">
      <formula>Z532="--:--"</formula>
    </cfRule>
  </conditionalFormatting>
  <conditionalFormatting sqref="N536:R537">
    <cfRule type="expression" priority="852" dxfId="9039">
      <formula>N538="--:--"</formula>
    </cfRule>
  </conditionalFormatting>
  <conditionalFormatting sqref="Z536:AD537">
    <cfRule type="expression" priority="666" dxfId="9039">
      <formula>Z538="--:--"</formula>
    </cfRule>
  </conditionalFormatting>
  <conditionalFormatting sqref="N542:R543">
    <cfRule type="expression" priority="851" dxfId="9039">
      <formula>N544="--:--"</formula>
    </cfRule>
  </conditionalFormatting>
  <conditionalFormatting sqref="Z542:AD543">
    <cfRule type="expression" priority="665" dxfId="9039">
      <formula>Z544="--:--"</formula>
    </cfRule>
  </conditionalFormatting>
  <conditionalFormatting sqref="N548:R549">
    <cfRule type="expression" priority="850" dxfId="9039">
      <formula>N550="--:--"</formula>
    </cfRule>
  </conditionalFormatting>
  <conditionalFormatting sqref="Z548:AD549">
    <cfRule type="expression" priority="664" dxfId="9039">
      <formula>Z550="--:--"</formula>
    </cfRule>
  </conditionalFormatting>
  <conditionalFormatting sqref="N554:R555">
    <cfRule type="expression" priority="849" dxfId="9039">
      <formula>N556="--:--"</formula>
    </cfRule>
  </conditionalFormatting>
  <conditionalFormatting sqref="Z554:AD555">
    <cfRule type="expression" priority="663" dxfId="9039">
      <formula>Z556="--:--"</formula>
    </cfRule>
  </conditionalFormatting>
  <conditionalFormatting sqref="N560:R561">
    <cfRule type="expression" priority="848" dxfId="9039">
      <formula>N562="--:--"</formula>
    </cfRule>
  </conditionalFormatting>
  <conditionalFormatting sqref="Z560:AD561">
    <cfRule type="expression" priority="662" dxfId="9039">
      <formula>Z562="--:--"</formula>
    </cfRule>
  </conditionalFormatting>
  <conditionalFormatting sqref="N566:R567">
    <cfRule type="expression" priority="847" dxfId="9039">
      <formula>N568="--:--"</formula>
    </cfRule>
  </conditionalFormatting>
  <conditionalFormatting sqref="Z566:AD567">
    <cfRule type="expression" priority="661" dxfId="9039">
      <formula>Z568="--:--"</formula>
    </cfRule>
  </conditionalFormatting>
  <conditionalFormatting sqref="N572:R573">
    <cfRule type="expression" priority="846" dxfId="9039">
      <formula>N574="--:--"</formula>
    </cfRule>
  </conditionalFormatting>
  <conditionalFormatting sqref="Z572:AD573">
    <cfRule type="expression" priority="660" dxfId="9039">
      <formula>Z574="--:--"</formula>
    </cfRule>
  </conditionalFormatting>
  <conditionalFormatting sqref="N578:R579">
    <cfRule type="expression" priority="845" dxfId="9039">
      <formula>N580="--:--"</formula>
    </cfRule>
  </conditionalFormatting>
  <conditionalFormatting sqref="Z578:AD579">
    <cfRule type="expression" priority="659" dxfId="9039">
      <formula>Z580="--:--"</formula>
    </cfRule>
  </conditionalFormatting>
  <conditionalFormatting sqref="N584:R585">
    <cfRule type="expression" priority="844" dxfId="9039">
      <formula>N586="--:--"</formula>
    </cfRule>
  </conditionalFormatting>
  <conditionalFormatting sqref="Z584:AD585">
    <cfRule type="expression" priority="658" dxfId="9039">
      <formula>Z586="--:--"</formula>
    </cfRule>
  </conditionalFormatting>
  <conditionalFormatting sqref="N590:R591">
    <cfRule type="expression" priority="843" dxfId="9039">
      <formula>N592="--:--"</formula>
    </cfRule>
  </conditionalFormatting>
  <conditionalFormatting sqref="Z590:AD591">
    <cfRule type="expression" priority="657" dxfId="9039">
      <formula>Z592="--:--"</formula>
    </cfRule>
  </conditionalFormatting>
  <conditionalFormatting sqref="N596:R597">
    <cfRule type="expression" priority="842" dxfId="9039">
      <formula>N598="--:--"</formula>
    </cfRule>
  </conditionalFormatting>
  <conditionalFormatting sqref="Z596:AD597">
    <cfRule type="expression" priority="656" dxfId="9039">
      <formula>Z598="--:--"</formula>
    </cfRule>
  </conditionalFormatting>
  <conditionalFormatting sqref="N602:R603">
    <cfRule type="expression" priority="841" dxfId="9039">
      <formula>N604="--:--"</formula>
    </cfRule>
  </conditionalFormatting>
  <conditionalFormatting sqref="Z602:AD603">
    <cfRule type="expression" priority="655" dxfId="9039">
      <formula>Z604="--:--"</formula>
    </cfRule>
  </conditionalFormatting>
  <conditionalFormatting sqref="N608:R609">
    <cfRule type="expression" priority="840" dxfId="9039">
      <formula>N610="--:--"</formula>
    </cfRule>
  </conditionalFormatting>
  <conditionalFormatting sqref="Z608:AD609">
    <cfRule type="expression" priority="654" dxfId="9039">
      <formula>Z610="--:--"</formula>
    </cfRule>
  </conditionalFormatting>
  <conditionalFormatting sqref="N614:R615">
    <cfRule type="expression" priority="839" dxfId="9039">
      <formula>N616="--:--"</formula>
    </cfRule>
  </conditionalFormatting>
  <conditionalFormatting sqref="Z614:AD615">
    <cfRule type="expression" priority="653" dxfId="9039">
      <formula>Z616="--:--"</formula>
    </cfRule>
  </conditionalFormatting>
  <conditionalFormatting sqref="N620:R621">
    <cfRule type="expression" priority="838" dxfId="9039">
      <formula>N622="--:--"</formula>
    </cfRule>
  </conditionalFormatting>
  <conditionalFormatting sqref="Z620:AD621">
    <cfRule type="expression" priority="652" dxfId="9039">
      <formula>Z622="--:--"</formula>
    </cfRule>
  </conditionalFormatting>
  <conditionalFormatting sqref="N626:R627">
    <cfRule type="expression" priority="837" dxfId="9039">
      <formula>N628="--:--"</formula>
    </cfRule>
  </conditionalFormatting>
  <conditionalFormatting sqref="Z626:AD627">
    <cfRule type="expression" priority="651" dxfId="9039">
      <formula>Z628="--:--"</formula>
    </cfRule>
  </conditionalFormatting>
  <conditionalFormatting sqref="N632:R633">
    <cfRule type="expression" priority="836" dxfId="9039">
      <formula>N634="--:--"</formula>
    </cfRule>
  </conditionalFormatting>
  <conditionalFormatting sqref="Z632:AD633">
    <cfRule type="expression" priority="650" dxfId="9039">
      <formula>Z634="--:--"</formula>
    </cfRule>
  </conditionalFormatting>
  <conditionalFormatting sqref="N638:R639">
    <cfRule type="expression" priority="835" dxfId="9039">
      <formula>N640="--:--"</formula>
    </cfRule>
  </conditionalFormatting>
  <conditionalFormatting sqref="Z638:AD639">
    <cfRule type="expression" priority="649" dxfId="9039">
      <formula>Z640="--:--"</formula>
    </cfRule>
  </conditionalFormatting>
  <conditionalFormatting sqref="N644:R645">
    <cfRule type="expression" priority="834" dxfId="9039">
      <formula>N646="--:--"</formula>
    </cfRule>
  </conditionalFormatting>
  <conditionalFormatting sqref="Z644:AD645">
    <cfRule type="expression" priority="648" dxfId="9039">
      <formula>Z646="--:--"</formula>
    </cfRule>
  </conditionalFormatting>
  <conditionalFormatting sqref="N650:R651">
    <cfRule type="expression" priority="833" dxfId="9039">
      <formula>N652="--:--"</formula>
    </cfRule>
  </conditionalFormatting>
  <conditionalFormatting sqref="Z650:AD651">
    <cfRule type="expression" priority="647" dxfId="9039">
      <formula>Z652="--:--"</formula>
    </cfRule>
  </conditionalFormatting>
  <conditionalFormatting sqref="N656:R657">
    <cfRule type="expression" priority="832" dxfId="9039">
      <formula>N658="--:--"</formula>
    </cfRule>
  </conditionalFormatting>
  <conditionalFormatting sqref="Z656:AD657">
    <cfRule type="expression" priority="646" dxfId="9039">
      <formula>Z658="--:--"</formula>
    </cfRule>
  </conditionalFormatting>
  <conditionalFormatting sqref="N662:R663">
    <cfRule type="expression" priority="831" dxfId="9039">
      <formula>N664="--:--"</formula>
    </cfRule>
  </conditionalFormatting>
  <conditionalFormatting sqref="Z662:AD663">
    <cfRule type="expression" priority="645" dxfId="9039">
      <formula>Z664="--:--"</formula>
    </cfRule>
  </conditionalFormatting>
  <conditionalFormatting sqref="N668:R669">
    <cfRule type="expression" priority="830" dxfId="9039">
      <formula>N670="--:--"</formula>
    </cfRule>
  </conditionalFormatting>
  <conditionalFormatting sqref="Z668:AD669">
    <cfRule type="expression" priority="644" dxfId="9039">
      <formula>Z670="--:--"</formula>
    </cfRule>
  </conditionalFormatting>
  <conditionalFormatting sqref="N674:R675">
    <cfRule type="expression" priority="829" dxfId="9039">
      <formula>N676="--:--"</formula>
    </cfRule>
  </conditionalFormatting>
  <conditionalFormatting sqref="Z674:AD675">
    <cfRule type="expression" priority="643" dxfId="9039">
      <formula>Z676="--:--"</formula>
    </cfRule>
  </conditionalFormatting>
  <conditionalFormatting sqref="N680:R681">
    <cfRule type="expression" priority="828" dxfId="9039">
      <formula>N682="--:--"</formula>
    </cfRule>
  </conditionalFormatting>
  <conditionalFormatting sqref="Z680:AD681">
    <cfRule type="expression" priority="642" dxfId="9039">
      <formula>Z682="--:--"</formula>
    </cfRule>
  </conditionalFormatting>
  <conditionalFormatting sqref="N687:R687 N693:R693 N699:R699 N705:R705 N711:R711 N717:R717 N723:R723 N729:R729 N735:R735 N741:R741 N747:R747 N753:R753 N759:R759 N765:R765 N771:R771 N777:R777 N783:R783 N789:R789 N795:R795 N801:R801 N807:R807 N813:R813 N819:R819 N825:R825 N831:R831 N837:R837 N843:R843 N849:R849 N855:R855 N861:R861 N867:R867 N873:R873 N879:R879 N885:R885 N891:R891">
    <cfRule type="expression" priority="1267" dxfId="4514">
      <formula>AND(ISNUMBER(TIMEVALUE(LEFT(N687,FIND("(",N687&amp;"(")-1))),ISNUMBER(TIMEVALUE(LEFT(N689,FIND("(",N689&amp;"(")-1))),IF(TIMEVALUE(LEFT(N687,FIND("(",N687&amp;"(")-1))&lt;=TIME(3,59,59),TIMEVALUE(LEFT(N687,FIND("(",N687&amp;"(")-1))+1,TIMEVALUE(LEFT(N687,FIND("(",N687&amp;"(")-1)))+60/1440&lt;IF(TIMEVALUE(LEFT(N689,FIND("(",N689&amp;"(")-1))&lt;=TIME(3,59,59),TIMEVALUE(LEFT(N689,FIND("(",N689&amp;"(")-1))+1,TIMEVALUE(LEFT(N689,FIND("(",N689&amp;"(")-1))))</formula>
    </cfRule>
  </conditionalFormatting>
  <conditionalFormatting sqref="N687:R688 N693:R694 N699:R700 N705:R706 N711:R712 N717:R718 N723:R724 N729:R730 N735:R736 N741:R742 N747:R748 N753:R754 N759:R760 N765:R766 N771:R772 N777:R778 N783:R784 N789:R790 N795:R796 N801:R802 N807:R808 N813:R814 N819:R820 N825:R826 N831:R832 N837:R838 N843:R844 N849:R850 N855:R856 N861:R862 N867:R868 N873:R874 N879:R880 N885:R886 N891:R892">
    <cfRule type="expression" priority="1266" dxfId="9039">
      <formula>N689="--:--"</formula>
    </cfRule>
  </conditionalFormatting>
  <conditionalFormatting sqref="Z687:AD687 Z693:AD693 Z699:AD699 Z705:AD705 Z711:AD711 Z717:AD717 Z723:AD723 Z729:AD729 Z735:AD735 Z741:AD741 Z747:AD747 Z753:AD753 Z759:AD759 Z765:AD765 Z771:AD771 Z777:AD777 Z783:AD783 Z789:AD789 Z795:AD795 Z801:AD801 Z807:AD807 Z813:AD813 Z819:AD819 Z825:AD825 Z831:AD831 Z837:AD837 Z843:AD843 Z849:AD849 Z855:AD855 Z861:AD861 Z867:AD867 Z873:AD873 Z879:AD879 Z885:AD885 Z891:AD891">
    <cfRule type="expression" priority="1261" dxfId="4514">
      <formula>AND(ISNUMBER(TIMEVALUE(LEFT(Z687,FIND("(",Z687&amp;"(")-1))),ISNUMBER(TIMEVALUE(LEFT(Z689,FIND("(",Z689&amp;"(")-1))),IF(TIMEVALUE(LEFT(Z687,FIND("(",Z687&amp;"(")-1))&lt;=TIME(3,59,59),TIMEVALUE(LEFT(Z687,FIND("(",Z687&amp;"(")-1))+1,TIMEVALUE(LEFT(Z687,FIND("(",Z687&amp;"(")-1)))+60/1440&lt;IF(TIMEVALUE(LEFT(Z689,FIND("(",Z689&amp;"(")-1))&lt;=TIME(3,59,59),TIMEVALUE(LEFT(Z689,FIND("(",Z689&amp;"(")-1))+1,TIMEVALUE(LEFT(Z689,FIND("(",Z689&amp;"(")-1))))</formula>
    </cfRule>
  </conditionalFormatting>
  <conditionalFormatting sqref="Z687:AD688 Z693:AD694 Z699:AD700 Z705:AD706 Z711:AD712 Z717:AD718 Z723:AD724 Z729:AD730 Z735:AD736 Z741:AD742 Z747:AD748 Z753:AD754 Z759:AD760 Z765:AD766 Z771:AD772 Z777:AD778 Z783:AD784 Z789:AD790 Z795:AD796 Z801:AD802 Z807:AD808 Z813:AD814 Z819:AD820 Z825:AD826 Z831:AD832 Z837:AD838 Z843:AD844 Z849:AD850 Z855:AD856 Z861:AD862 Z867:AD868 Z873:AD874 Z879:AD880 Z885:AD886 Z891:AD892">
    <cfRule type="expression" priority="1260" dxfId="9039">
      <formula>Z689="--:--"</formula>
    </cfRule>
  </conditionalFormatting>
  <conditionalFormatting sqref="N688:R688 N694:R694 N700:R700 N706:R706 N712:R712 N718:R718 N724:R724 N730:R730 N736:R736 N742:R742 N748:R748 N754:R754 N760:R760 N766:R766 N772:R772 N778:R778 N784:R784 N790:R790 N796:R796 N802:R802 N808:R808 N814:R814 N820:R820 N826:R826 N832:R832 N838:R838 N844:R844 N850:R850 N856:R856 N862:R862 N868:R868 N874:R874 N880:R880 N886:R886 N892:R892">
    <cfRule type="expression" priority="1268" dxfId="4514">
      <formula>AND(ISNUMBER(TIMEVALUE(LEFT(N688,FIND("(",N688&amp;"(")-1))),ISNUMBER(TIMEVALUE(LEFT(N690,FIND("(",N690&amp;"(")-1))),IF(TIMEVALUE(LEFT(N688,FIND("(",N688&amp;"(")-1))&lt;=TIME(3,59,59),TIMEVALUE(LEFT(N688,FIND("(",N688&amp;"(")-1))+1,TIMEVALUE(LEFT(N688,FIND("(",N688&amp;"(")-1)))-60/1440&gt;IF(TIMEVALUE(LEFT(N690,FIND("(",N690&amp;"(")-1))&lt;=TIME(3,59,59),TIMEVALUE(LEFT(N690,FIND("(",N690&amp;"(")-1))+1,TIMEVALUE(LEFT(N690,FIND("(",N690&amp;"(")-1))))</formula>
    </cfRule>
  </conditionalFormatting>
  <conditionalFormatting sqref="Z688:AD688 Z694:AD694 Z700:AD700 Z706:AD706 Z712:AD712 Z718:AD718 Z724:AD724 Z730:AD730 Z736:AD736 Z742:AD742 Z748:AD748 Z754:AD754 Z760:AD760 Z766:AD766 Z772:AD772 Z778:AD778 Z784:AD784 Z790:AD790 Z796:AD796 Z802:AD802 Z808:AD808 Z814:AD814 Z820:AD820 Z826:AD826 Z832:AD832 Z838:AD838 Z844:AD844 Z850:AD850 Z856:AD856 Z862:AD862 Z868:AD868 Z874:AD874 Z880:AD880 Z886:AD886 Z892:AD892">
    <cfRule type="expression" priority="1262" dxfId="4514">
      <formula>AND(ISNUMBER(TIMEVALUE(LEFT(Z688,FIND("(",Z688&amp;"(")-1))),ISNUMBER(TIMEVALUE(LEFT(Z690,FIND("(",Z690&amp;"(")-1))),IF(TIMEVALUE(LEFT(Z688,FIND("(",Z688&amp;"(")-1))&lt;=TIME(3,59,59),TIMEVALUE(LEFT(Z688,FIND("(",Z688&amp;"(")-1))+1,TIMEVALUE(LEFT(Z688,FIND("(",Z688&amp;"(")-1)))-60/1440&gt;IF(TIMEVALUE(LEFT(Z690,FIND("(",Z690&amp;"(")-1))&lt;=TIME(3,59,59),TIMEVALUE(LEFT(Z690,FIND("(",Z690&amp;"(")-1))+1,TIMEVALUE(LEFT(Z690,FIND("(",Z690&amp;"(")-1))))</formula>
    </cfRule>
  </conditionalFormatting>
  <conditionalFormatting sqref="N897:R898">
    <cfRule type="expression" priority="386" dxfId="9039">
      <formula>N899="--:--"</formula>
    </cfRule>
  </conditionalFormatting>
  <conditionalFormatting sqref="Z897:AD898">
    <cfRule type="expression" priority="326" dxfId="9039">
      <formula>Z899="--:--"</formula>
    </cfRule>
  </conditionalFormatting>
  <conditionalFormatting sqref="N903:R904">
    <cfRule type="expression" priority="385" dxfId="9039">
      <formula>N905="--:--"</formula>
    </cfRule>
  </conditionalFormatting>
  <conditionalFormatting sqref="Z903:AD904">
    <cfRule type="expression" priority="325" dxfId="9039">
      <formula>Z905="--:--"</formula>
    </cfRule>
  </conditionalFormatting>
  <conditionalFormatting sqref="N909:R910">
    <cfRule type="expression" priority="384" dxfId="9039">
      <formula>N911="--:--"</formula>
    </cfRule>
  </conditionalFormatting>
  <conditionalFormatting sqref="Z909:AD910">
    <cfRule type="expression" priority="324" dxfId="9039">
      <formula>Z911="--:--"</formula>
    </cfRule>
  </conditionalFormatting>
  <conditionalFormatting sqref="N915:R916">
    <cfRule type="expression" priority="383" dxfId="9039">
      <formula>N917="--:--"</formula>
    </cfRule>
  </conditionalFormatting>
  <conditionalFormatting sqref="Z915:AD916">
    <cfRule type="expression" priority="323" dxfId="9039">
      <formula>Z917="--:--"</formula>
    </cfRule>
  </conditionalFormatting>
  <conditionalFormatting sqref="N921:R922">
    <cfRule type="expression" priority="382" dxfId="9039">
      <formula>N923="--:--"</formula>
    </cfRule>
  </conditionalFormatting>
  <conditionalFormatting sqref="Z921:AD922">
    <cfRule type="expression" priority="322" dxfId="9039">
      <formula>Z923="--:--"</formula>
    </cfRule>
  </conditionalFormatting>
  <conditionalFormatting sqref="N927:R928">
    <cfRule type="expression" priority="381" dxfId="9039">
      <formula>N929="--:--"</formula>
    </cfRule>
  </conditionalFormatting>
  <conditionalFormatting sqref="Z927:AD928">
    <cfRule type="expression" priority="321" dxfId="9039">
      <formula>Z929="--:--"</formula>
    </cfRule>
  </conditionalFormatting>
  <conditionalFormatting sqref="N933:R934">
    <cfRule type="expression" priority="380" dxfId="9039">
      <formula>N935="--:--"</formula>
    </cfRule>
  </conditionalFormatting>
  <conditionalFormatting sqref="Z933:AD934">
    <cfRule type="expression" priority="320" dxfId="9039">
      <formula>Z935="--:--"</formula>
    </cfRule>
  </conditionalFormatting>
  <conditionalFormatting sqref="N939:R940">
    <cfRule type="expression" priority="379" dxfId="9039">
      <formula>N941="--:--"</formula>
    </cfRule>
  </conditionalFormatting>
  <conditionalFormatting sqref="Z939:AD940">
    <cfRule type="expression" priority="319" dxfId="9039">
      <formula>Z941="--:--"</formula>
    </cfRule>
  </conditionalFormatting>
  <conditionalFormatting sqref="N945:R946">
    <cfRule type="expression" priority="378" dxfId="9039">
      <formula>N947="--:--"</formula>
    </cfRule>
  </conditionalFormatting>
  <conditionalFormatting sqref="Z945:AD946">
    <cfRule type="expression" priority="318" dxfId="9039">
      <formula>Z947="--:--"</formula>
    </cfRule>
  </conditionalFormatting>
  <conditionalFormatting sqref="N951:R952">
    <cfRule type="expression" priority="377" dxfId="9039">
      <formula>N953="--:--"</formula>
    </cfRule>
  </conditionalFormatting>
  <conditionalFormatting sqref="Z951:AD952">
    <cfRule type="expression" priority="317" dxfId="9039">
      <formula>Z953="--:--"</formula>
    </cfRule>
  </conditionalFormatting>
  <conditionalFormatting sqref="N958:R959">
    <cfRule type="expression" priority="1249" dxfId="9039">
      <formula>N960="--:--"</formula>
    </cfRule>
  </conditionalFormatting>
  <conditionalFormatting sqref="Z958:AD959">
    <cfRule type="expression" priority="1243" dxfId="9039">
      <formula>Z960="--:--"</formula>
    </cfRule>
  </conditionalFormatting>
  <conditionalFormatting sqref="N965:R965 N971:R971 N977:R977 N983:R983 N989:R989 N995:R995 N1001:R1001">
    <cfRule type="expression" priority="1233" dxfId="4514">
      <formula>AND(ISNUMBER(TIMEVALUE(LEFT(N965,FIND("(",N965&amp;"(")-1))),ISNUMBER(TIMEVALUE(LEFT(N967,FIND("(",N967&amp;"(")-1))),IF(TIMEVALUE(LEFT(N965,FIND("(",N965&amp;"(")-1))&lt;=TIME(3,59,59),TIMEVALUE(LEFT(N965,FIND("(",N965&amp;"(")-1))+1,TIMEVALUE(LEFT(N965,FIND("(",N965&amp;"(")-1)))+60/1440&lt;IF(TIMEVALUE(LEFT(N967,FIND("(",N967&amp;"(")-1))&lt;=TIME(3,59,59),TIMEVALUE(LEFT(N967,FIND("(",N967&amp;"(")-1))+1,TIMEVALUE(LEFT(N967,FIND("(",N967&amp;"(")-1))))</formula>
    </cfRule>
  </conditionalFormatting>
  <conditionalFormatting sqref="N965:R966 N971:R972 N977:R978 N983:R984 N989:R990 N995:R996 N1001:R1002">
    <cfRule type="expression" priority="1232" dxfId="9039">
      <formula>N967="--:--"</formula>
    </cfRule>
  </conditionalFormatting>
  <conditionalFormatting sqref="Z965:AD965 Z971:AD971 Z977:AD977 Z983:AD983 Z989:AD989 Z995:AD995 Z1001:AD1001">
    <cfRule type="expression" priority="1227" dxfId="4514">
      <formula>AND(ISNUMBER(TIMEVALUE(LEFT(Z965,FIND("(",Z965&amp;"(")-1))),ISNUMBER(TIMEVALUE(LEFT(Z967,FIND("(",Z967&amp;"(")-1))),IF(TIMEVALUE(LEFT(Z965,FIND("(",Z965&amp;"(")-1))&lt;=TIME(3,59,59),TIMEVALUE(LEFT(Z965,FIND("(",Z965&amp;"(")-1))+1,TIMEVALUE(LEFT(Z965,FIND("(",Z965&amp;"(")-1)))+60/1440&lt;IF(TIMEVALUE(LEFT(Z967,FIND("(",Z967&amp;"(")-1))&lt;=TIME(3,59,59),TIMEVALUE(LEFT(Z967,FIND("(",Z967&amp;"(")-1))+1,TIMEVALUE(LEFT(Z967,FIND("(",Z967&amp;"(")-1))))</formula>
    </cfRule>
  </conditionalFormatting>
  <conditionalFormatting sqref="Z965:AD966 Z971:AD972 Z977:AD978 Z983:AD984 Z989:AD990 Z995:AD996 Z1001:AD1002">
    <cfRule type="expression" priority="1226" dxfId="9039">
      <formula>Z967="--:--"</formula>
    </cfRule>
  </conditionalFormatting>
  <conditionalFormatting sqref="N966:R966 N972:R972 N978:R978 N984:R984 N990:R990 N996:R996 N1002:R1002">
    <cfRule type="expression" priority="1234" dxfId="4514">
      <formula>AND(ISNUMBER(TIMEVALUE(LEFT(N966,FIND("(",N966&amp;"(")-1))),ISNUMBER(TIMEVALUE(LEFT(N968,FIND("(",N968&amp;"(")-1))),IF(TIMEVALUE(LEFT(N966,FIND("(",N966&amp;"(")-1))&lt;=TIME(3,59,59),TIMEVALUE(LEFT(N966,FIND("(",N966&amp;"(")-1))+1,TIMEVALUE(LEFT(N966,FIND("(",N966&amp;"(")-1)))-60/1440&gt;IF(TIMEVALUE(LEFT(N968,FIND("(",N968&amp;"(")-1))&lt;=TIME(3,59,59),TIMEVALUE(LEFT(N968,FIND("(",N968&amp;"(")-1))+1,TIMEVALUE(LEFT(N968,FIND("(",N968&amp;"(")-1))))</formula>
    </cfRule>
  </conditionalFormatting>
  <conditionalFormatting sqref="Z966:AD966 Z972:AD972 Z978:AD978 Z984:AD984 Z990:AD990 Z996:AD996 Z1002:AD1002">
    <cfRule type="expression" priority="1228" dxfId="4514">
      <formula>AND(ISNUMBER(TIMEVALUE(LEFT(Z966,FIND("(",Z966&amp;"(")-1))),ISNUMBER(TIMEVALUE(LEFT(Z968,FIND("(",Z968&amp;"(")-1))),IF(TIMEVALUE(LEFT(Z966,FIND("(",Z966&amp;"(")-1))&lt;=TIME(3,59,59),TIMEVALUE(LEFT(Z966,FIND("(",Z966&amp;"(")-1))+1,TIMEVALUE(LEFT(Z966,FIND("(",Z966&amp;"(")-1)))-60/1440&gt;IF(TIMEVALUE(LEFT(Z968,FIND("(",Z968&amp;"(")-1))&lt;=TIME(3,59,59),TIMEVALUE(LEFT(Z968,FIND("(",Z968&amp;"(")-1))+1,TIMEVALUE(LEFT(Z968,FIND("(",Z968&amp;"(")-1))))</formula>
    </cfRule>
  </conditionalFormatting>
  <conditionalFormatting sqref="N1008:R1008 N1014:R1014 N1020:R1020 N1026:R1026">
    <cfRule type="expression" priority="1216" dxfId="4514">
      <formula>AND(ISNUMBER(TIMEVALUE(LEFT(N1008,FIND("(",N1008&amp;"(")-1))),ISNUMBER(TIMEVALUE(LEFT(N1010,FIND("(",N1010&amp;"(")-1))),IF(TIMEVALUE(LEFT(N1008,FIND("(",N1008&amp;"(")-1))&lt;=TIME(3,59,59),TIMEVALUE(LEFT(N1008,FIND("(",N1008&amp;"(")-1))+1,TIMEVALUE(LEFT(N1008,FIND("(",N1008&amp;"(")-1)))+60/1440&lt;IF(TIMEVALUE(LEFT(N1010,FIND("(",N1010&amp;"(")-1))&lt;=TIME(3,59,59),TIMEVALUE(LEFT(N1010,FIND("(",N1010&amp;"(")-1))+1,TIMEVALUE(LEFT(N1010,FIND("(",N1010&amp;"(")-1))))</formula>
    </cfRule>
  </conditionalFormatting>
  <conditionalFormatting sqref="N1008:R1009 N1014:R1015 N1020:R1021 N1026:R1027">
    <cfRule type="expression" priority="1215" dxfId="9039">
      <formula>N1010="--:--"</formula>
    </cfRule>
  </conditionalFormatting>
  <conditionalFormatting sqref="Z1008:AD1008 Z1014:AD1014 Z1020:AD1020 Z1026:AD1026">
    <cfRule type="expression" priority="1210" dxfId="4514">
      <formula>AND(ISNUMBER(TIMEVALUE(LEFT(Z1008,FIND("(",Z1008&amp;"(")-1))),ISNUMBER(TIMEVALUE(LEFT(Z1010,FIND("(",Z1010&amp;"(")-1))),IF(TIMEVALUE(LEFT(Z1008,FIND("(",Z1008&amp;"(")-1))&lt;=TIME(3,59,59),TIMEVALUE(LEFT(Z1008,FIND("(",Z1008&amp;"(")-1))+1,TIMEVALUE(LEFT(Z1008,FIND("(",Z1008&amp;"(")-1)))+60/1440&lt;IF(TIMEVALUE(LEFT(Z1010,FIND("(",Z1010&amp;"(")-1))&lt;=TIME(3,59,59),TIMEVALUE(LEFT(Z1010,FIND("(",Z1010&amp;"(")-1))+1,TIMEVALUE(LEFT(Z1010,FIND("(",Z1010&amp;"(")-1))))</formula>
    </cfRule>
  </conditionalFormatting>
  <conditionalFormatting sqref="Z1008:AD1009 Z1014:AD1015 Z1020:AD1021 Z1026:AD1027">
    <cfRule type="expression" priority="1209" dxfId="9039">
      <formula>Z1010="--:--"</formula>
    </cfRule>
  </conditionalFormatting>
  <conditionalFormatting sqref="N1009:R1009 N1015:R1015 N1021:R1021 N1027:R1027">
    <cfRule type="expression" priority="1217" dxfId="4514">
      <formula>AND(ISNUMBER(TIMEVALUE(LEFT(N1009,FIND("(",N1009&amp;"(")-1))),ISNUMBER(TIMEVALUE(LEFT(N1011,FIND("(",N1011&amp;"(")-1))),IF(TIMEVALUE(LEFT(N1009,FIND("(",N1009&amp;"(")-1))&lt;=TIME(3,59,59),TIMEVALUE(LEFT(N1009,FIND("(",N1009&amp;"(")-1))+1,TIMEVALUE(LEFT(N1009,FIND("(",N1009&amp;"(")-1)))-60/1440&gt;IF(TIMEVALUE(LEFT(N1011,FIND("(",N1011&amp;"(")-1))&lt;=TIME(3,59,59),TIMEVALUE(LEFT(N1011,FIND("(",N1011&amp;"(")-1))+1,TIMEVALUE(LEFT(N1011,FIND("(",N1011&amp;"(")-1))))</formula>
    </cfRule>
  </conditionalFormatting>
  <conditionalFormatting sqref="Z1009:AD1009 Z1015:AD1015 Z1021:AD1021 Z1027:AD1027">
    <cfRule type="expression" priority="1211" dxfId="4514">
      <formula>AND(ISNUMBER(TIMEVALUE(LEFT(Z1009,FIND("(",Z1009&amp;"(")-1))),ISNUMBER(TIMEVALUE(LEFT(Z1011,FIND("(",Z1011&amp;"(")-1))),IF(TIMEVALUE(LEFT(Z1009,FIND("(",Z1009&amp;"(")-1))&lt;=TIME(3,59,59),TIMEVALUE(LEFT(Z1009,FIND("(",Z1009&amp;"(")-1))+1,TIMEVALUE(LEFT(Z1009,FIND("(",Z1009&amp;"(")-1)))-60/1440&gt;IF(TIMEVALUE(LEFT(Z1011,FIND("(",Z1011&amp;"(")-1))&lt;=TIME(3,59,59),TIMEVALUE(LEFT(Z1011,FIND("(",Z1011&amp;"(")-1))+1,TIMEVALUE(LEFT(Z1011,FIND("(",Z1011&amp;"(")-1))))</formula>
    </cfRule>
  </conditionalFormatting>
  <conditionalFormatting sqref="N1033:R1034">
    <cfRule type="expression" priority="1181" dxfId="9039">
      <formula>N1035="--:--"</formula>
    </cfRule>
  </conditionalFormatting>
  <conditionalFormatting sqref="Z1033:AD1034">
    <cfRule type="expression" priority="1175" dxfId="9039">
      <formula>Z1035="--:--"</formula>
    </cfRule>
  </conditionalFormatting>
  <conditionalFormatting sqref="N1039:R1040">
    <cfRule type="expression" priority="1164" dxfId="9039">
      <formula>N1041="--:--"</formula>
    </cfRule>
  </conditionalFormatting>
  <conditionalFormatting sqref="Z1039:AD1040">
    <cfRule type="expression" priority="1158" dxfId="9039">
      <formula>Z1041="--:--"</formula>
    </cfRule>
  </conditionalFormatting>
  <conditionalFormatting sqref="N1045:R1045 N1051:R1051 N1057:R1057 N1063:R1063 N1069:R1069 N1075:R1075 N1081:R1081 N1087:R1087 N1093:R1093 N1099:R1099 N1105:R1105 N1111:R1111 N1117:R1117 N1123:R1123 N1129:R1129 N1135:R1135 N1141:R1141 N1147:R1147 N1153:R1153 N1159:R1159 N1165:R1165 N1171:R1171 N1177:R1177 N1183:R1183 N1189:R1189 N1195:R1195 N1201:R1201 N1207:R1207 N1213:R1213 N1219:R1219 N1225:R1225 N1231:R1231 N1237:R1237 N1243:R1243 N1249:R1249 N1255:R1255 N1261:R1261 N1267:R1267 N1273:R1273 N1279:R1279 N1285:R1285 N1291:R1291 N1297:R1297 N1303:R1303 N1309:R1309 N1315:R1315 N1321:R1321 N1327:R1327 N1333:R1333 N1339:R1339 N1345:R1345 N1351:R1351 N1357:R1357 N1363:R1363 N1369:R1369 N1375:R1375 N1381:R1381">
    <cfRule type="expression" priority="1148" dxfId="4514">
      <formula>AND(ISNUMBER(TIMEVALUE(LEFT(N1045,FIND("(",N1045&amp;"(")-1))),ISNUMBER(TIMEVALUE(LEFT(N1047,FIND("(",N1047&amp;"(")-1))),IF(TIMEVALUE(LEFT(N1045,FIND("(",N1045&amp;"(")-1))&lt;=TIME(3,59,59),TIMEVALUE(LEFT(N1045,FIND("(",N1045&amp;"(")-1))+1,TIMEVALUE(LEFT(N1045,FIND("(",N1045&amp;"(")-1)))+60/1440&lt;IF(TIMEVALUE(LEFT(N1047,FIND("(",N1047&amp;"(")-1))&lt;=TIME(3,59,59),TIMEVALUE(LEFT(N1047,FIND("(",N1047&amp;"(")-1))+1,TIMEVALUE(LEFT(N1047,FIND("(",N1047&amp;"(")-1))))</formula>
    </cfRule>
  </conditionalFormatting>
  <conditionalFormatting sqref="N1045:R1046 N1051:R1052 N1057:R1058 N1063:R1064 N1069:R1070 N1075:R1076 N1081:R1082 N1087:R1088 N1093:R1094 N1099:R1100 N1105:R1106 N1111:R1112 N1117:R1118 N1123:R1124 N1129:R1130 N1135:R1136 N1141:R1142 N1147:R1148 N1153:R1154 N1159:R1160 N1165:R1166 N1171:R1172 N1177:R1178 N1183:R1184 N1189:R1190 N1195:R1196 N1201:R1202 N1207:R1208 N1213:R1214 N1219:R1220 N1225:R1226 N1231:R1232 N1237:R1238 N1243:R1244 N1249:R1250 N1255:R1256 N1261:R1262 N1267:R1268 N1273:R1274 N1279:R1280 N1285:R1286 N1291:R1292 N1297:R1298 N1303:R1304 N1309:R1310 N1315:R1316 N1321:R1322 N1327:R1328 N1333:R1334 N1339:R1340 N1345:R1346 N1351:R1352 N1357:R1358 N1363:R1364 N1369:R1370 N1375:R1376 N1381:R1382">
    <cfRule type="expression" priority="1147" dxfId="9039">
      <formula>N1047="--:--"</formula>
    </cfRule>
  </conditionalFormatting>
  <conditionalFormatting sqref="Z1045:AD1045 Z1051:AD1051 Z1057:AD1057 Z1063:AD1063 Z1069:AD1069 Z1075:AD1075 Z1081:AD1081 Z1087:AD1087 Z1093:AD1093 Z1099:AD1099 Z1105:AD1105 Z1111:AD1111 Z1117:AD1117 Z1123:AD1123 Z1129:AD1129 Z1135:AD1135 Z1141:AD1141 Z1147:AD1147 Z1153:AD1153 Z1159:AD1159 Z1165:AD1165 Z1171:AD1171 Z1177:AD1177 Z1183:AD1183 Z1189:AD1189 Z1195:AD1195 Z1201:AD1201 Z1207:AD1207 Z1213:AD1213 Z1219:AD1219 Z1225:AD1225 Z1231:AD1231 Z1237:AD1237 Z1243:AD1243 Z1249:AD1249 Z1255:AD1255 Z1261:AD1261 Z1267:AD1267 Z1273:AD1273 Z1279:AD1279 Z1285:AD1285 Z1291:AD1291 Z1297:AD1297 Z1303:AD1303 Z1309:AD1309 Z1315:AD1315 Z1321:AD1321 Z1327:AD1327 Z1333:AD1333 Z1339:AD1339 Z1345:AD1345 Z1351:AD1351 Z1357:AD1357 Z1363:AD1363 Z1369:AD1369 Z1375:AD1375 Z1381:AD1381">
    <cfRule type="expression" priority="1142" dxfId="4514">
      <formula>AND(ISNUMBER(TIMEVALUE(LEFT(Z1045,FIND("(",Z1045&amp;"(")-1))),ISNUMBER(TIMEVALUE(LEFT(Z1047,FIND("(",Z1047&amp;"(")-1))),IF(TIMEVALUE(LEFT(Z1045,FIND("(",Z1045&amp;"(")-1))&lt;=TIME(3,59,59),TIMEVALUE(LEFT(Z1045,FIND("(",Z1045&amp;"(")-1))+1,TIMEVALUE(LEFT(Z1045,FIND("(",Z1045&amp;"(")-1)))+60/1440&lt;IF(TIMEVALUE(LEFT(Z1047,FIND("(",Z1047&amp;"(")-1))&lt;=TIME(3,59,59),TIMEVALUE(LEFT(Z1047,FIND("(",Z1047&amp;"(")-1))+1,TIMEVALUE(LEFT(Z1047,FIND("(",Z1047&amp;"(")-1))))</formula>
    </cfRule>
  </conditionalFormatting>
  <conditionalFormatting sqref="Z1045:AD1046 Z1051:AD1052 Z1057:AD1058 Z1063:AD1064 Z1069:AD1070 Z1075:AD1076 Z1081:AD1082 Z1087:AD1088 Z1093:AD1094 Z1099:AD1100 Z1105:AD1106 Z1111:AD1112 Z1117:AD1118 Z1123:AD1124 Z1129:AD1130 Z1135:AD1136 Z1141:AD1142 Z1147:AD1148 Z1153:AD1154 Z1159:AD1160 Z1165:AD1166 Z1171:AD1172 Z1177:AD1178 Z1183:AD1184 Z1189:AD1190 Z1195:AD1196 Z1201:AD1202 Z1207:AD1208 Z1213:AD1214 Z1219:AD1220 Z1225:AD1226 Z1231:AD1232 Z1237:AD1238 Z1243:AD1244 Z1249:AD1250 Z1255:AD1256 Z1261:AD1262 Z1267:AD1268 Z1273:AD1274 Z1279:AD1280 Z1285:AD1286 Z1291:AD1292 Z1297:AD1298 Z1303:AD1304 Z1309:AD1310 Z1315:AD1316 Z1321:AD1322 Z1327:AD1328 Z1333:AD1334 Z1339:AD1340 Z1345:AD1346 Z1351:AD1352 Z1357:AD1358 Z1363:AD1364 Z1369:AD1370 Z1375:AD1376 Z1381:AD1382">
    <cfRule type="expression" priority="1141" dxfId="9039">
      <formula>Z1047="--:--"</formula>
    </cfRule>
  </conditionalFormatting>
  <conditionalFormatting sqref="N1046:R1046 N1052:R1052 N1058:R1058 N1064:R1064 N1070:R1070 N1076:R1076 N1082:R1082 N1088:R1088 N1094:R1094 N1100:R1100 N1106:R1106 N1112:R1112 N1118:R1118 N1124:R1124 N1130:R1130 N1136:R1136 N1142:R1142 N1148:R1148 N1154:R1154 N1160:R1160 N1166:R1166 N1172:R1172 N1178:R1178 N1184:R1184 N1190:R1190 N1196:R1196 N1202:R1202 N1208:R1208 N1214:R1214 N1220:R1220 N1226:R1226 N1232:R1232 N1238:R1238 N1244:R1244 N1250:R1250 N1256:R1256 N1262:R1262 N1268:R1268 N1274:R1274 N1280:R1280 N1286:R1286 N1292:R1292 N1298:R1298 N1304:R1304 N1310:R1310 N1316:R1316 N1322:R1322 N1328:R1328 N1334:R1334 N1340:R1340 N1346:R1346 N1352:R1352 N1358:R1358 N1364:R1364 N1370:R1370 N1376:R1376 N1382:R1382">
    <cfRule type="expression" priority="1149" dxfId="4514">
      <formula>AND(ISNUMBER(TIMEVALUE(LEFT(N1046,FIND("(",N1046&amp;"(")-1))),ISNUMBER(TIMEVALUE(LEFT(N1048,FIND("(",N1048&amp;"(")-1))),IF(TIMEVALUE(LEFT(N1046,FIND("(",N1046&amp;"(")-1))&lt;=TIME(3,59,59),TIMEVALUE(LEFT(N1046,FIND("(",N1046&amp;"(")-1))+1,TIMEVALUE(LEFT(N1046,FIND("(",N1046&amp;"(")-1)))-60/1440&gt;IF(TIMEVALUE(LEFT(N1048,FIND("(",N1048&amp;"(")-1))&lt;=TIME(3,59,59),TIMEVALUE(LEFT(N1048,FIND("(",N1048&amp;"(")-1))+1,TIMEVALUE(LEFT(N1048,FIND("(",N1048&amp;"(")-1))))</formula>
    </cfRule>
  </conditionalFormatting>
  <conditionalFormatting sqref="Z1046:AD1046 Z1052:AD1052 Z1058:AD1058 Z1064:AD1064 Z1070:AD1070 Z1076:AD1076 Z1082:AD1082 Z1088:AD1088 Z1094:AD1094 Z1100:AD1100 Z1106:AD1106 Z1112:AD1112 Z1118:AD1118 Z1124:AD1124 Z1130:AD1130 Z1136:AD1136 Z1142:AD1142 Z1148:AD1148 Z1154:AD1154 Z1160:AD1160 Z1166:AD1166 Z1172:AD1172 Z1178:AD1178 Z1184:AD1184 Z1190:AD1190 Z1196:AD1196 Z1202:AD1202 Z1208:AD1208 Z1214:AD1214 Z1220:AD1220 Z1226:AD1226 Z1232:AD1232 Z1238:AD1238 Z1244:AD1244 Z1250:AD1250 Z1256:AD1256 Z1262:AD1262 Z1268:AD1268 Z1274:AD1274 Z1280:AD1280 Z1286:AD1286 Z1292:AD1292 Z1298:AD1298 Z1304:AD1304 Z1310:AD1310 Z1316:AD1316 Z1322:AD1322 Z1328:AD1328 Z1334:AD1334 Z1340:AD1340 Z1346:AD1346 Z1352:AD1352 Z1358:AD1358 Z1364:AD1364 Z1370:AD1370 Z1376:AD1376 Z1382:AD1382">
    <cfRule type="expression" priority="1143" dxfId="4514">
      <formula>AND(ISNUMBER(TIMEVALUE(LEFT(Z1046,FIND("(",Z1046&amp;"(")-1))),ISNUMBER(TIMEVALUE(LEFT(Z1048,FIND("(",Z1048&amp;"(")-1))),IF(TIMEVALUE(LEFT(Z1046,FIND("(",Z1046&amp;"(")-1))&lt;=TIME(3,59,59),TIMEVALUE(LEFT(Z1046,FIND("(",Z1046&amp;"(")-1))+1,TIMEVALUE(LEFT(Z1046,FIND("(",Z1046&amp;"(")-1)))-60/1440&gt;IF(TIMEVALUE(LEFT(Z1048,FIND("(",Z1048&amp;"(")-1))&lt;=TIME(3,59,59),TIMEVALUE(LEFT(Z1048,FIND("(",Z1048&amp;"(")-1))+1,TIMEVALUE(LEFT(Z1048,FIND("(",Z1048&amp;"(")-1))))</formula>
    </cfRule>
  </conditionalFormatting>
  <conditionalFormatting sqref="N1387:R1388">
    <cfRule type="expression" priority="516" dxfId="9039">
      <formula>N1389="--:--"</formula>
    </cfRule>
  </conditionalFormatting>
  <conditionalFormatting sqref="Z1387:AD1388">
    <cfRule type="expression" priority="492" dxfId="9039">
      <formula>Z1389="--:--"</formula>
    </cfRule>
  </conditionalFormatting>
  <conditionalFormatting sqref="N1393:R1394">
    <cfRule type="expression" priority="515" dxfId="9039">
      <formula>N1395="--:--"</formula>
    </cfRule>
  </conditionalFormatting>
  <conditionalFormatting sqref="Z1393:AD1394">
    <cfRule type="expression" priority="491" dxfId="9039">
      <formula>Z1395="--:--"</formula>
    </cfRule>
  </conditionalFormatting>
  <conditionalFormatting sqref="N1399:R1400">
    <cfRule type="expression" priority="514" dxfId="9039">
      <formula>N1401="--:--"</formula>
    </cfRule>
  </conditionalFormatting>
  <conditionalFormatting sqref="Z1399:AD1400">
    <cfRule type="expression" priority="490" dxfId="9039">
      <formula>Z1401="--:--"</formula>
    </cfRule>
  </conditionalFormatting>
  <conditionalFormatting sqref="N1405:R1406">
    <cfRule type="expression" priority="513" dxfId="9039">
      <formula>N1407="--:--"</formula>
    </cfRule>
  </conditionalFormatting>
  <conditionalFormatting sqref="Z1405:AD1406">
    <cfRule type="expression" priority="489" dxfId="9039">
      <formula>Z1407="--:--"</formula>
    </cfRule>
  </conditionalFormatting>
  <conditionalFormatting sqref="AF7:AJ7 AF13:AJ13 AF19:AJ19 AF25:AJ25 AF31:AJ31 AF37:AJ37 AF43:AJ43 AF49:AJ49 AF56:AJ56 AF62:AJ62 AF68:AJ68 AF74:AJ74 AF80:AJ80 AF86:AJ86 AF92:AJ92 AF98:AJ98 AF104:AJ104 AF110:AJ110 AF116:AJ116 AF122:AJ122 AF128:AJ128 AF134:AJ134 AF140:AJ140 AF146:AJ146 AF152:AJ152 AF158:AJ158 AF164:AJ164 AF170:AJ170 AF176:AJ176 AF182:AJ182 AF188:AJ188 AF194:AJ194 AF200:AJ200 AF206:AJ206 AF212:AJ212 AF218:AJ218 AF224:AJ224 AF230:AJ230 AF236:AJ236 AF242:AJ242 AF248:AJ248 AF254:AJ254 AF260:AJ260 AF266:AJ266 AF272:AJ272 AF278:AJ278 AF284:AJ284 AF290:AJ290 AF296:AJ296 AF302:AJ302 AF308:AJ308 AF314:AJ314 AF320:AJ320 AF326:AJ326 AF332:AJ332 AF338:AJ338 AF344:AJ344 AF350:AJ350 AF356:AJ356 AF362:AJ362 AF368:AJ368 AF374:AJ374 AF380:AJ380 AF386:AJ386 AF392:AJ392 AF398:AJ398 AF404:AJ404 AF410:AJ410 AF416:AJ416 AF422:AJ422 AF428:AJ428 AF434:AJ434 AF440:AJ440 AF446:AJ446 AF452:AJ452 AF458:AJ458 AF464:AJ464 AF470:AJ470 AF476:AJ476 AF482:AJ482 AF488:AJ488 AF494:AJ494 AF500:AJ500 AF506:AJ506 AF512:AJ512 AF518:AJ518 AF524:AJ524 AF530:AJ530 AF536:AJ536 AF542:AJ542 AF548:AJ548 AF554:AJ554 AF560:AJ560 AF566:AJ566 AF572:AJ572 AF578:AJ578 AF584:AJ584 AF590:AJ590 AF596:AJ596 AF602:AJ602 AF608:AJ608 AF614:AJ614 AF620:AJ620 AF626:AJ626 AF632:AJ632 AF638:AJ638 AF644:AJ644 AF650:AJ650 AF656:AJ656 AF662:AJ662 AF668:AJ668 AF674:AJ674 AF680:AJ680 AF687:AJ687 AF693:AJ693 AF699:AJ699 AF705:AJ705 AF711:AJ711 AF717:AJ717 AF723:AJ723 AF729:AJ729 AF735:AJ735 AF741:AJ741 AF747:AJ747 AF753:AJ753 AF759:AJ759 AF765:AJ765 AF771:AJ771 AF777:AJ777 AF783:AJ783 AF789:AJ789 AF795:AJ795 AF801:AJ801 AF807:AJ807 AF813:AJ813 AF819:AJ819 AF825:AJ825 AF831:AJ831 AF837:AJ837 AF843:AJ843 AF849:AJ849 AF855:AJ855 AF861:AJ861 AF867:AJ867 AF873:AJ873 AF879:AJ879 AF885:AJ885 AF891:AJ891 AF897:AJ897 AF903:AJ903 AF909:AJ909 AF915:AJ915 AF921:AJ921 AF927:AJ927 AF933:AJ933 AF939:AJ939 AF945:AJ945 AF951:AJ951 AF958:AJ958 AF965:AJ965 AF971:AJ971 AF977:AJ977 AF983:AJ983 AF989:AJ989 AF995:AJ995 AF1001:AJ1001 AF1008:AJ1008 AF1014:AJ1014 AF1020:AJ1020 AF1026:AJ1026 AF1033:AJ1033 AF1039:AJ1039 AF1045:AJ1045 AF1051:AJ1051 AF1057:AJ1057 AF1063:AJ1063 AF1069:AJ1069 AF1075:AJ1075 AF1081:AJ1081 AF1087:AJ1087 AF1093:AJ1093 AF1099:AJ1099 AF1105:AJ1105 AF1111:AJ1111 AF1117:AJ1117 AF1123:AJ1123 AF1129:AJ1129 AF1135:AJ1135 AF1141:AJ1141 AF1147:AJ1147 AF1153:AJ1153 AF1159:AJ1159 AF1165:AJ1165 AF1171:AJ1171 AF1177:AJ1177 AF1183:AJ1183 AF1189:AJ1189 AF1195:AJ1195 AF1201:AJ1201 AF1207:AJ1207 AF1213:AJ1213 AF1219:AJ1219 AF1225:AJ1225 AF1231:AJ1231 AF1237:AJ1237 AF1243:AJ1243 AF1249:AJ1249 AF1255:AJ1255 AF1261:AJ1261 AF1267:AJ1267 AF1273:AJ1273 AF1279:AJ1279 AF1285:AJ1285 AF1291:AJ1291 AF1297:AJ1297 AF1303:AJ1303 AF1309:AJ1309 AF1315:AJ1315 AF1321:AJ1321 AF1327:AJ1327 AF1333:AJ1333 AF1339:AJ1339 AF1345:AJ1345 AF1351:AJ1351 AF1357:AJ1357 AF1363:AJ1363 AF1369:AJ1369 AF1375:AJ1375 AF1381:AJ1381 AF1387:AJ1387 AF1393:AJ1393 AF1399:AJ1399 AF1405:AJ1405">
    <cfRule type="expression" priority="5" dxfId="4514">
      <formula>AND(ISNUMBER(TIMEVALUE(LEFT(AF7,FIND("(",AF7&amp;"(")-1))),ISNUMBER(TIMEVALUE(LEFT(AF9,FIND("(",AF9&amp;"(")-1))),IF(TIMEVALUE(LEFT(AF7,FIND("(",AF7&amp;"(")-1))&lt;=TIME(3,59,59),TIMEVALUE(LEFT(AF7,FIND("(",AF7&amp;"(")-1))+1,TIMEVALUE(LEFT(AF7,FIND("(",AF7&amp;"(")-1)))+60/1440&lt;IF(TIMEVALUE(LEFT(AF9,FIND("(",AF9&amp;"(")-1))&lt;=TIME(3,59,59),TIMEVALUE(LEFT(AF9,FIND("(",AF9&amp;"(")-1))+1,TIMEVALUE(LEFT(AF9,FIND("(",AF9&amp;"(")-1))))</formula>
    </cfRule>
  </conditionalFormatting>
  <conditionalFormatting sqref="AF8:AJ8 AF14:AJ14 AF20:AJ20 AF26:AJ26 AF32:AJ32 AF38:AJ38 AF44:AJ44 AF50:AJ50 AF57:AJ57 AF63:AJ63 AF69:AJ69 AF75:AJ75 AF81:AJ81 AF87:AJ87 AF93:AJ93 AF99:AJ99 AF105:AJ105 AF111:AJ111 AF117:AJ117 AF123:AJ123 AF129:AJ129 AF135:AJ135 AF141:AJ141 AF147:AJ147 AF153:AJ153 AF159:AJ159 AF165:AJ165 AF171:AJ171 AF177:AJ177 AF183:AJ183 AF189:AJ189 AF195:AJ195 AF201:AJ201 AF207:AJ207 AF213:AJ213 AF219:AJ219 AF225:AJ225 AF231:AJ231 AF237:AJ237 AF243:AJ243 AF249:AJ249 AF255:AJ255 AF261:AJ261 AF267:AJ267 AF273:AJ273 AF279:AJ279 AF285:AJ285 AF291:AJ291 AF297:AJ297 AF303:AJ303 AF309:AJ309 AF315:AJ315 AF321:AJ321 AF327:AJ327 AF333:AJ333 AF339:AJ339 AF345:AJ345 AF351:AJ351 AF357:AJ357 AF363:AJ363 AF369:AJ369 AF375:AJ375 AF381:AJ381 AF387:AJ387 AF393:AJ393 AF399:AJ399 AF405:AJ405 AF411:AJ411 AF417:AJ417 AF423:AJ423 AF429:AJ429 AF435:AJ435 AF441:AJ441 AF447:AJ447 AF453:AJ453 AF459:AJ459 AF465:AJ465 AF471:AJ471 AF477:AJ477 AF483:AJ483 AF489:AJ489 AF495:AJ495 AF501:AJ501 AF507:AJ507 AF513:AJ513 AF519:AJ519 AF525:AJ525 AF531:AJ531 AF537:AJ537 AF543:AJ543 AF549:AJ549 AF555:AJ555 AF561:AJ561 AF567:AJ567 AF573:AJ573 AF579:AJ579 AF585:AJ585 AF591:AJ591 AF597:AJ597 AF603:AJ603 AF609:AJ609 AF615:AJ615 AF621:AJ621 AF627:AJ627 AF633:AJ633 AF639:AJ639 AF645:AJ645 AF651:AJ651 AF657:AJ657 AF663:AJ663 AF669:AJ669 AF675:AJ675 AF681:AJ681 AF688:AJ688 AF694:AJ694 AF700:AJ700 AF706:AJ706 AF712:AJ712 AF718:AJ718 AF724:AJ724 AF730:AJ730 AF736:AJ736 AF742:AJ742 AF748:AJ748 AF754:AJ754 AF760:AJ760 AF766:AJ766 AF772:AJ772 AF778:AJ778 AF784:AJ784 AF790:AJ790 AF796:AJ796 AF802:AJ802 AF808:AJ808 AF814:AJ814 AF820:AJ820 AF826:AJ826 AF832:AJ832 AF838:AJ838 AF844:AJ844 AF850:AJ850 AF856:AJ856 AF862:AJ862 AF868:AJ868 AF874:AJ874 AF880:AJ880 AF886:AJ886 AF892:AJ892 AF898:AJ898 AF904:AJ904 AF910:AJ910 AF916:AJ916 AF922:AJ922 AF928:AJ928 AF934:AJ934 AF940:AJ940 AF946:AJ946 AF952:AJ952 AF959:AJ959 AF966:AJ966 AF972:AJ972 AF978:AJ978 AF984:AJ984 AF990:AJ990 AF996:AJ996 AF1002:AJ1002 AF1009:AJ1009 AF1015:AJ1015 AF1021:AJ1021 AF1027:AJ1027 AF1034:AJ1034 AF1040:AJ1040 AF1046:AJ1046 AF1052:AJ1052 AF1058:AJ1058 AF1064:AJ1064 AF1070:AJ1070 AF1076:AJ1076 AF1082:AJ1082 AF1088:AJ1088 AF1094:AJ1094 AF1100:AJ1100 AF1106:AJ1106 AF1112:AJ1112 AF1118:AJ1118 AF1124:AJ1124 AF1130:AJ1130 AF1136:AJ1136 AF1142:AJ1142 AF1148:AJ1148 AF1154:AJ1154 AF1160:AJ1160 AF1166:AJ1166 AF1172:AJ1172 AF1178:AJ1178 AF1184:AJ1184 AF1190:AJ1190 AF1196:AJ1196 AF1202:AJ1202 AF1208:AJ1208 AF1214:AJ1214 AF1220:AJ1220 AF1226:AJ1226 AF1232:AJ1232 AF1238:AJ1238 AF1244:AJ1244 AF1250:AJ1250 AF1256:AJ1256 AF1262:AJ1262 AF1268:AJ1268 AF1274:AJ1274 AF1280:AJ1280 AF1286:AJ1286 AF1292:AJ1292 AF1298:AJ1298 AF1304:AJ1304 AF1310:AJ1310 AF1316:AJ1316 AF1322:AJ1322 AF1328:AJ1328 AF1334:AJ1334 AF1340:AJ1340 AF1346:AJ1346 AF1352:AJ1352 AF1358:AJ1358 AF1364:AJ1364 AF1370:AJ1370 AF1376:AJ1376 AF1382:AJ1382 AF1388:AJ1388 AF1394:AJ1394 AF1400:AJ1400 AF1406:AJ1406">
    <cfRule type="expression" priority="6" dxfId="4514">
      <formula>AND(ISNUMBER(TIMEVALUE(LEFT(AF8,FIND("(",AF8&amp;"(")-1))),ISNUMBER(TIMEVALUE(LEFT(AF10,FIND("(",AF10&amp;"(")-1))),IF(TIMEVALUE(LEFT(AF8,FIND("(",AF8&amp;"(")-1))&lt;=TIME(3,59,59),TIMEVALUE(LEFT(AF8,FIND("(",AF8&amp;"(")-1))+1,TIMEVALUE(LEFT(AF8,FIND("(",AF8&amp;"(")-1)))-60/1440&gt;IF(TIMEVALUE(LEFT(AF10,FIND("(",AF10&amp;"(")-1))&lt;=TIME(3,59,59),TIMEVALUE(LEFT(AF10,FIND("(",AF10&amp;"(")-1))+1,TIMEVALUE(LEFT(AF10,FIND("(",AF10&amp;"(")-1))))</formula>
    </cfRule>
  </conditionalFormatting>
  <conditionalFormatting sqref="AG7:AJ8 AG13:AJ14 AG19:AJ20 AG25:AJ26 AG31:AJ32 AG37:AJ38 AG43:AJ44 AG49:AJ50 AG56:AJ57 AG62:AJ63 AG68:AJ69 AG74:AJ75 AG80:AJ81 AG86:AJ87 AG92:AJ93 AG98:AJ99 AG104:AJ105 AG110:AJ111 AG116:AJ117 AG122:AJ123 AG128:AJ129 AG134:AJ135 AG140:AJ141 AG146:AJ147 AG152:AJ153 AG158:AJ159 AG164:AJ165 AG170:AJ171 AG176:AJ177 AG182:AJ183 AG188:AJ189 AG194:AJ195 AG200:AJ201 AG206:AJ207 AG212:AJ213 AG218:AJ219 AG224:AJ225 AG230:AJ231 AG236:AJ237 AG242:AJ243 AG248:AJ249 AG254:AJ255 AG260:AJ261 AG266:AJ267 AG272:AJ273 AG278:AJ279 AG284:AJ285 AG290:AJ291 AG296:AJ297 AG302:AJ303 AG308:AJ309 AG314:AJ315 AG320:AJ321 AG326:AJ327 AG332:AJ333 AG338:AJ339 AG344:AJ345 AG350:AJ351 AG356:AJ357 AG362:AJ363 AG368:AJ369 AG374:AJ375 AG380:AJ381 AG386:AJ387 AG392:AJ393 AG398:AJ399 AG404:AJ405 AG410:AJ411 AG416:AJ417 AG422:AJ423 AG428:AJ429 AG434:AJ435 AG440:AJ441 AG446:AJ447 AG452:AJ453 AG458:AJ459 AG464:AJ465 AG470:AJ471 AG476:AJ477 AG482:AJ483 AG488:AJ489 AG494:AJ495 AG500:AJ501 AG506:AJ507 AG512:AJ513 AG518:AJ519 AG524:AJ525 AG530:AJ531 AG536:AJ537 AG542:AJ543 AG548:AJ549 AG554:AJ555 AG560:AJ561 AG566:AJ567 AG572:AJ573 AG578:AJ579 AG584:AJ585 AG590:AJ591 AG596:AJ597 AG602:AJ603 AG608:AJ609 AG614:AJ615 AG620:AJ621 AG626:AJ627 AG632:AJ633 AG638:AJ639 AG644:AJ645 AG650:AJ651 AG656:AJ657 AG662:AJ663 AG668:AJ669 AG674:AJ675 AG680:AJ681 AG687:AJ688 AG693:AJ694 AG699:AJ700 AG705:AJ706 AG711:AJ712 AG717:AJ718 AG723:AJ724 AG729:AJ730 AG735:AJ736 AG741:AJ742 AG747:AJ748 AG753:AJ754 AG759:AJ760 AG765:AJ766 AG771:AJ772 AG777:AJ778 AG783:AJ784 AG789:AJ790 AG795:AJ796 AG801:AJ802 AG807:AJ808 AG813:AJ814 AG819:AJ820 AG825:AJ826 AG831:AJ832 AG837:AJ838 AG843:AJ844 AG849:AJ850 AG855:AJ856 AG861:AJ862 AG867:AJ868 AG873:AJ874 AG879:AJ880 AG885:AJ886 AG891:AJ892 AG897:AJ898 AG903:AJ904 AG909:AJ910 AG915:AJ916 AG921:AJ922 AG927:AJ928 AG933:AJ934 AG939:AJ940 AG945:AJ946 AG951:AJ952 AG958:AJ959 AG965:AJ966 AG971:AJ972 AG977:AJ978 AG983:AJ984 AG989:AJ990 AG995:AJ996 AG1001:AJ1002 AG1008:AJ1009 AG1014:AJ1015 AG1020:AJ1021 AG1026:AJ1027 AG1033:AJ1034 AG1039:AJ1040 AG1045:AJ1046 AG1051:AJ1052 AG1057:AJ1058 AG1063:AJ1064 AG1069:AJ1070 AG1075:AJ1076 AG1081:AJ1082 AG1087:AJ1088 AG1093:AJ1094 AG1099:AJ1100 AG1105:AJ1106 AG1111:AJ1112 AG1117:AJ1118 AG1123:AJ1124 AG1129:AJ1130 AG1135:AJ1136 AG1141:AJ1142 AG1147:AJ1148 AG1153:AJ1154 AG1159:AJ1160 AG1165:AJ1166 AG1171:AJ1172 AG1177:AJ1178 AG1183:AJ1184 AG1189:AJ1190 AG1195:AJ1196 AG1201:AJ1202 AG1207:AJ1208 AG1213:AJ1214 AG1219:AJ1220 AG1225:AJ1226 AG1231:AJ1232 AG1237:AJ1238 AG1243:AJ1244 AG1249:AJ1250 AG1255:AJ1256 AG1261:AJ1262 AG1267:AJ1268 AG1273:AJ1274 AG1279:AJ1280 AG1285:AJ1286 AG1291:AJ1292 AG1297:AJ1298 AG1303:AJ1304 AG1309:AJ1310 AG1315:AJ1316 AG1321:AJ1322 AG1327:AJ1328 AG1333:AJ1334 AG1339:AJ1340 AG1345:AJ1346 AG1351:AJ1352 AG1357:AJ1358 AG1363:AJ1364 AG1369:AJ1370 AG1375:AJ1376 AG1381:AJ1382 AG1387:AJ1388 AG1393:AJ1394 AG1399:AJ1400 AG1405:AJ1406">
    <cfRule type="expression" priority="2" dxfId="9039">
      <formula>AG9="--:--"</formula>
    </cfRule>
  </conditionalFormatting>
  <conditionalFormatting sqref="AF7:AF8 AF13:AF14 AF19:AF20 AF25:AF26 AF31:AF32 AF37:AF38 AF43:AF44 AF49:AF50 AF56:AF57 AF62:AF63 AF68:AF69 AF74:AF75 AF80:AF81 AF86:AF87 AF92:AF93 AF98:AF99 AF104:AF105 AF110:AF111 AF116:AF117 AF122:AF123 AF128:AF129 AF134:AF135 AF140:AF141 AF146:AF147 AF152:AF153 AF158:AF159 AF164:AF165 AF170:AF171 AF176:AF177 AF182:AF183 AF188:AF189 AF194:AF195 AF200:AF201 AF206:AF207 AF212:AF213 AF218:AF219 AF224:AF225 AF230:AF231 AF236:AF237 AF242:AF243 AF248:AF249 AF254:AF255 AF260:AF261 AF266:AF267 AF272:AF273 AF278:AF279 AF284:AF285 AF290:AF291 AF296:AF297 AF302:AF303 AF308:AF309 AF314:AF315 AF320:AF321 AF326:AF327 AF332:AF333 AF338:AF339 AF344:AF345 AF350:AF351 AF356:AF357 AF362:AF363 AF368:AF369 AF374:AF375 AF380:AF381 AF386:AF387 AF392:AF393 AF398:AF399 AF404:AF405 AF410:AF411 AF416:AF417 AF422:AF423 AF428:AF429 AF434:AF435 AF440:AF441 AF446:AF447 AF452:AF453 AF458:AF459 AF464:AF465 AF470:AF471 AF476:AF477 AF482:AF483 AF488:AF489 AF494:AF495 AF500:AF501 AF506:AF507 AF512:AF513 AF518:AF519 AF524:AF525 AF530:AF531 AF536:AF537 AF542:AF543 AF548:AF549 AF554:AF555 AF560:AF561 AF566:AF567 AF572:AF573 AF578:AF579 AF584:AF585 AF590:AF591 AF596:AF597 AF602:AF603 AF608:AF609 AF614:AF615 AF620:AF621 AF626:AF627 AF632:AF633 AF638:AF639 AF644:AF645 AF650:AF651 AF656:AF657 AF662:AF663 AF668:AF669 AF674:AF675 AF680:AF681 AF687:AF688 AF693:AF694 AF699:AF700 AF705:AF706 AF711:AF712 AF717:AF718 AF723:AF724 AF729:AF730 AF735:AF736 AF741:AF742 AF747:AF748 AF753:AF754 AF759:AF760 AF765:AF766 AF771:AF772 AF777:AF778 AF783:AF784 AF789:AF790 AF795:AF796 AF801:AF802 AF807:AF808 AF813:AF814 AF819:AF820 AF825:AF826 AF831:AF832 AF837:AF838 AF843:AF844 AF849:AF850 AF855:AF856 AF861:AF862 AF867:AF868 AF873:AF874 AF879:AF880 AF885:AF886 AF891:AF892 AF897:AF898 AF903:AF904 AF909:AF910 AF915:AF916 AF921:AF922 AF927:AF928 AF933:AF934 AF939:AF940 AF945:AF946 AF951:AF952 AF958:AF959 AF965:AF966 AF971:AF972 AF977:AF978 AF983:AF984 AF989:AF990 AF995:AF996 AF1001:AF1002 AF1008:AF1009 AF1014:AF1015 AF1020:AF1021 AF1026:AF1027 AF1033:AF1034 AF1039:AF1040 AF1045:AF1046 AF1051:AF1052 AF1057:AF1058 AF1063:AF1064 AF1069:AF1070 AF1075:AF1076 AF1081:AF1082 AF1087:AF1088 AF1093:AF1094 AF1099:AF1100 AF1105:AF1106 AF1111:AF1112 AF1117:AF1118 AF1123:AF1124 AF1129:AF1130 AF1135:AF1136 AF1141:AF1142 AF1147:AF1148 AF1153:AF1154 AF1159:AF1160 AF1165:AF1166 AF1171:AF1172 AF1177:AF1178 AF1183:AF1184 AF1189:AF1190 AF1195:AF1196 AF1201:AF1202 AF1207:AF1208 AF1213:AF1214 AF1219:AF1220 AF1225:AF1226 AF1231:AF1232 AF1237:AF1238 AF1243:AF1244 AF1249:AF1250 AF1255:AF1256 AF1261:AF1262 AF1267:AF1268 AF1273:AF1274 AF1279:AF1280 AF1285:AF1286 AF1291:AF1292 AF1297:AF1298 AF1303:AF1304 AF1309:AF1310 AF1315:AF1316 AF1321:AF1322 AF1327:AF1328 AF1333:AF1334 AF1339:AF1340 AF1345:AF1346 AF1351:AF1352 AF1357:AF1358 AF1363:AF1364 AF1369:AF1370 AF1375:AF1376 AF1381:AF1382 AF1387:AF1388 AF1393:AF1394 AF1399:AF1400 AF1405:AF1406">
    <cfRule type="expression" priority="1" dxfId="9039">
      <formula>AF9="--:--"</formula>
    </cfRule>
  </conditionalFormatting>
  <printOptions verticalCentered="1"/>
  <pageMargins left="0.25" right="0.25" top="0" bottom="0" header="0" footer="0"/>
  <pageSetup orientation="landscape" paperSize="77" scale="29" fitToHeight="2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zhuanzhuan</dc:creator>
  <dcterms:created xsi:type="dcterms:W3CDTF">2024-12-24T17:12:00Z</dcterms:created>
  <dcterms:modified xsi:type="dcterms:W3CDTF">2026-09-10T11:00:17Z</dcterms:modified>
  <cp:lastModifiedBy>孙弦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3FA518DC9E78DE77CFADD86926AF328E_43</vt:lpwstr>
  </property>
  <property name="KSOProductBuildVer" fmtid="{D5CDD505-2E9C-101B-9397-08002B2CF9AE}" pid="3">
    <vt:lpwstr>2052-12.1.26016.26016</vt:lpwstr>
  </property>
  <property name="CalculationRule" fmtid="{D5CDD505-2E9C-101B-9397-08002B2CF9AE}" pid="4">
    <vt:i4>0</vt:i4>
  </property>
</Properties>
</file>